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z\Documents\"/>
    </mc:Choice>
  </mc:AlternateContent>
  <xr:revisionPtr revIDLastSave="0" documentId="13_ncr:1_{FE8749C7-B967-4D34-9FE6-0ED2D33CDF1A}" xr6:coauthVersionLast="47" xr6:coauthVersionMax="47" xr10:uidLastSave="{00000000-0000-0000-0000-000000000000}"/>
  <bookViews>
    <workbookView xWindow="-120" yWindow="-120" windowWidth="20730" windowHeight="11160" activeTab="3" xr2:uid="{F141E932-CFC3-4806-8353-5B9E51E3A4A9}"/>
  </bookViews>
  <sheets>
    <sheet name="POS" sheetId="2" r:id="rId1"/>
    <sheet name="Control" sheetId="1" r:id="rId2"/>
    <sheet name="Registros" sheetId="6" r:id="rId3"/>
    <sheet name="API" sheetId="5" r:id="rId4"/>
  </sheets>
  <definedNames>
    <definedName name="_xlnm.Print_Area" localSheetId="0">POS!$Q$1:$T$24</definedName>
    <definedName name="DatosExternos_1" localSheetId="3" hidden="1">API!$A$1:$B$7</definedName>
    <definedName name="DatosExternos_2" localSheetId="3" hidden="1">API!#REF!</definedName>
    <definedName name="NombreFacturador">Facturadores[Nombres]</definedName>
    <definedName name="_xlnm.Print_Titles" localSheetId="0">POS!$1:$10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5" l="1"/>
  <c r="D9" i="5"/>
  <c r="D14" i="2" l="1"/>
  <c r="D17" i="2" l="1"/>
  <c r="G10" i="2" l="1"/>
  <c r="T11" i="2"/>
  <c r="V2" i="2" l="1"/>
  <c r="Q7" i="2" l="1"/>
  <c r="Q6" i="2"/>
  <c r="Q4" i="2"/>
  <c r="Q3" i="2"/>
  <c r="Q2" i="2"/>
  <c r="D4" i="2" l="1"/>
  <c r="D1" i="2" l="1"/>
  <c r="Q21" i="2" l="1"/>
  <c r="T17" i="2" l="1"/>
  <c r="Y13" i="2" s="1"/>
  <c r="T16" i="2"/>
  <c r="T14" i="2"/>
  <c r="T13" i="2"/>
  <c r="E2" i="5" s="1"/>
  <c r="S9" i="2"/>
  <c r="S8" i="2"/>
  <c r="F16" i="2"/>
  <c r="G33" i="2"/>
  <c r="Q8" i="2" s="1"/>
  <c r="G34" i="2"/>
  <c r="Q9" i="2" s="1"/>
  <c r="H3" i="1"/>
  <c r="Y11" i="2" l="1"/>
  <c r="Y17" i="2"/>
  <c r="Y5" i="2"/>
  <c r="T15" i="2"/>
  <c r="E3" i="5" s="1"/>
  <c r="T18" i="2" l="1"/>
  <c r="Q18" i="2"/>
  <c r="Y7" i="2"/>
  <c r="Y19" i="2"/>
  <c r="Q19" i="2" s="1"/>
  <c r="D10" i="5"/>
  <c r="T1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3254AA-B75D-4E7C-B951-4C2161916C31}" keepAlive="1" name="Consulta - ¿Cuánto cuesta el dólar banco central de venezuela ofical en Venezuela hoy?" description="Conexión a la consulta '¿Cuánto cuesta el dólar banco central de venezuela ofical en Venezuela hoy?' en el libro." type="5" refreshedVersion="0" background="1">
    <dbPr connection="Provider=Microsoft.Mashup.OleDb.1;Data Source=$Workbook$;Location=&quot;¿Cuánto cuesta el dólar banco central de venezuela ofical en Venezuela hoy?&quot;;Extended Properties=&quot;&quot;" command="SELECT * FROM [¿Cuánto cuesta el dólar banco central de venezuela ofical en Venezuela hoy?]"/>
  </connection>
  <connection id="2" xr16:uid="{1D3E386C-91D9-4AA3-96E9-33DD89BDF26D}" keepAlive="1" name="Consulta - ¿Cuánto cuesta el dólar banco central de venezuela ofical en Venezuela hoy? (2)" description="Conexión a la consulta '¿Cuánto cuesta el dólar banco central de venezuela ofical en Venezuela hoy? (2)' en el libro." type="5" refreshedVersion="0" background="1">
    <dbPr connection="Provider=Microsoft.Mashup.OleDb.1;Data Source=$Workbook$;Location=&quot;¿Cuánto cuesta el dólar banco central de venezuela ofical en Venezuela hoy? (2)&quot;;Extended Properties=&quot;&quot;" command="SELECT * FROM [¿Cuánto cuesta el dólar banco central de venezuela ofical en Venezuela hoy? (2)]"/>
  </connection>
  <connection id="3" xr16:uid="{A70406C6-7750-48B4-AF0C-796E20CD6508}" keepAlive="1" interval="60" name="Consulta - ¿Cuánto cuesta el dólar banco central de venezuela ofical en Venezuela hoy? (3)" description="Conexión a la consulta '¿Cuánto cuesta el dólar banco central de venezuela ofical en Venezuela hoy? (3)' en el libro." type="5" refreshedVersion="8" background="1" saveData="1">
    <dbPr connection="Provider=Microsoft.Mashup.OleDb.1;Data Source=$Workbook$;Location=&quot;¿Cuánto cuesta el dólar banco central de venezuela ofical en Venezuela hoy? (3)&quot;;Extended Properties=&quot;&quot;" command="SELECT * FROM [¿Cuánto cuesta el dólar banco central de venezuela ofical en Venezuela hoy? (3)]"/>
  </connection>
</connections>
</file>

<file path=xl/sharedStrings.xml><?xml version="1.0" encoding="utf-8"?>
<sst xmlns="http://schemas.openxmlformats.org/spreadsheetml/2006/main" count="98" uniqueCount="87">
  <si>
    <t>ID</t>
  </si>
  <si>
    <t>Producto</t>
  </si>
  <si>
    <t>Descripción</t>
  </si>
  <si>
    <t>Precio</t>
  </si>
  <si>
    <t>Ruta</t>
  </si>
  <si>
    <t>PRODUCTOS</t>
  </si>
  <si>
    <t>FACTURAS</t>
  </si>
  <si>
    <t>Código</t>
  </si>
  <si>
    <t>FACTURADORES</t>
  </si>
  <si>
    <t>Nombres</t>
  </si>
  <si>
    <t>Código Producto</t>
  </si>
  <si>
    <t>Cantidad:</t>
  </si>
  <si>
    <t>Precio:</t>
  </si>
  <si>
    <t>Producto:</t>
  </si>
  <si>
    <t>CONTROLES</t>
  </si>
  <si>
    <t>Cot. $</t>
  </si>
  <si>
    <t>Método de Pago</t>
  </si>
  <si>
    <t>Se reciben del cliente (en USD)</t>
  </si>
  <si>
    <t>Se reciben del cliente (en Bs. S)</t>
  </si>
  <si>
    <t>Siguiente Factura</t>
  </si>
  <si>
    <t>Fecha y hora</t>
  </si>
  <si>
    <t>Facturador</t>
  </si>
  <si>
    <t>Cant</t>
  </si>
  <si>
    <t>TOTAL Bs. S:</t>
  </si>
  <si>
    <t>TOTAL REF:</t>
  </si>
  <si>
    <t>Precio(REF)</t>
  </si>
  <si>
    <t>Total(REF)</t>
  </si>
  <si>
    <t>TASA BCV:</t>
  </si>
  <si>
    <t>ABONADO</t>
  </si>
  <si>
    <t>CAMBIO</t>
  </si>
  <si>
    <t>ABONADO REF:</t>
  </si>
  <si>
    <t>ABONADO Bs. S:</t>
  </si>
  <si>
    <t>Cod.</t>
  </si>
  <si>
    <t>EDITAR</t>
  </si>
  <si>
    <t>CONVERTOR</t>
  </si>
  <si>
    <t>¡Gracias por su compra!</t>
  </si>
  <si>
    <t>Total USD</t>
  </si>
  <si>
    <t>Total Bs. S</t>
  </si>
  <si>
    <t>$</t>
  </si>
  <si>
    <t>TOTALES</t>
  </si>
  <si>
    <t>BS. S</t>
  </si>
  <si>
    <t>NOTA ADICIONAL</t>
  </si>
  <si>
    <t>Ruta Imagen NO encontrada</t>
  </si>
  <si>
    <t>Tarjeta</t>
  </si>
  <si>
    <t>Efectivo</t>
  </si>
  <si>
    <t>PM</t>
  </si>
  <si>
    <t>Dólar</t>
  </si>
  <si>
    <t>DETALLES</t>
  </si>
  <si>
    <t>VersionINFO</t>
  </si>
  <si>
    <t>Welcome</t>
  </si>
  <si>
    <t>OpenPOS es un programa de Point of Sale (POS) desarrollado en Excel con macros, diseñado para ayudarte a gestionar tus ventas de manera eficiente y fácil. Con OpenPOS, podrás realizar ventas de manera fácil y rápida, gracias a la interfaz de usuario intuitiva y fácil de usar.</t>
  </si>
  <si>
    <t>Lanzamiento-año</t>
  </si>
  <si>
    <t>Lanzamiento-Fecha</t>
  </si>
  <si>
    <t>Usuario</t>
  </si>
  <si>
    <t>RIF</t>
  </si>
  <si>
    <t>Dirección</t>
  </si>
  <si>
    <t>Contactos 1</t>
  </si>
  <si>
    <t>Contactos 2</t>
  </si>
  <si>
    <t>Imagen EMPRESA</t>
  </si>
  <si>
    <t>Pendiente USD</t>
  </si>
  <si>
    <t>Pendiente Bs.</t>
  </si>
  <si>
    <t>Funciones</t>
  </si>
  <si>
    <t>Personalización</t>
  </si>
  <si>
    <t>Conexiones</t>
  </si>
  <si>
    <t>• Personalizar las observaciones en las facturas.
• Los productos pueden incluir imágenes y descripciones.
• Personalizar el nombre y los datos de la empresa en las facturas.</t>
  </si>
  <si>
    <t>• Realizar la conversión VES-USD a tasa BCV mediante API Web de DolarTODAY.
• Permitir tasas VES-USD personalizadas.</t>
  </si>
  <si>
    <t>• Imprimir y guardar facturas.
• Limpiar y editar los datos ingresados.
• Incluir fecha y hora actualizadas y nombre del facturador.
• Elegir entre 5 métodos de pago: Pago móvil, TDD, Efectivo, Dólares y Combinado.
• Incluir un desglose de cada método de pago.
• Completar automáticamente en todas las opciones de pago (excluyendo Combinado).
• Ingresar los datos de los productos en el registro con precio en dólares y convertirlos en Bolívares al momento de facturar.
• Acceder a los productos mediante código.</t>
  </si>
  <si>
    <t>FALSO</t>
  </si>
  <si>
    <t>Fecha</t>
  </si>
  <si>
    <t>Tasa</t>
  </si>
  <si>
    <t>*'</t>
  </si>
  <si>
    <t>Cantidad</t>
  </si>
  <si>
    <t>CambioUSD</t>
  </si>
  <si>
    <t>CambioBs</t>
  </si>
  <si>
    <t>Precio (USD)</t>
  </si>
  <si>
    <t>TotalUSD</t>
  </si>
  <si>
    <t>TotalBs</t>
  </si>
  <si>
    <t>Column1</t>
  </si>
  <si>
    <t>Column2</t>
  </si>
  <si>
    <t>1 USD</t>
  </si>
  <si>
    <t>5 USD</t>
  </si>
  <si>
    <t>10 USD</t>
  </si>
  <si>
    <t>20 USD</t>
  </si>
  <si>
    <t>50 USD</t>
  </si>
  <si>
    <t>100 USD</t>
  </si>
  <si>
    <t>v.0.1.1 (alfa)</t>
  </si>
  <si>
    <t>Pago Móvil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</si>
</sst>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7" formatCode="&quot;Bs.S&quot;#,##0.00;&quot;Bs.S&quot;\-#,##0.00"/>
    <numFmt numFmtId="43" formatCode="_ * #,##0.00_ ;_ * \-#,##0.00_ ;_ * &quot;-&quot;??_ ;_ @_ "/>
    <numFmt numFmtId="164" formatCode="&quot;Bs.S&quot;\ #,##0.00;&quot;Bs.S&quot;\ \-#,##0.00"/>
    <numFmt numFmtId="165" formatCode="_ &quot;Bs.S&quot;\ * #,##0.00_ ;_ &quot;Bs.S&quot;\ * \-#,##0.00_ ;_ &quot;Bs.S&quot;\ * &quot;-&quot;??_ ;_ @_ "/>
    <numFmt numFmtId="166" formatCode="_-[$$-540A]* #,##0.00_ ;_-[$$-540A]* \-#,##0.00\ ;_-[$$-540A]* &quot;-&quot;??_ ;_-@_ "/>
    <numFmt numFmtId="167" formatCode="#,##0.0"/>
    <numFmt numFmtId="168" formatCode="_-&quot;$&quot;* #,##0.00_-;\-&quot;$&quot;* #,##0.00_-;_-&quot;$&quot;* &quot;-&quot;??_-;_-@_-"/>
    <numFmt numFmtId="169" formatCode="[$$-540A]#,##0.00"/>
    <numFmt numFmtId="170" formatCode="&quot;Bs.S&quot;\ #,##0.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88B8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name val="Arial"/>
      <family val="2"/>
    </font>
    <font>
      <sz val="6"/>
      <color theme="1"/>
      <name val="Consolas"/>
      <family val="3"/>
    </font>
    <font>
      <b/>
      <sz val="6"/>
      <color theme="1"/>
      <name val="Consolas"/>
      <family val="3"/>
    </font>
    <font>
      <sz val="6"/>
      <color rgb="FF0088B8"/>
      <name val="Arial"/>
      <family val="2"/>
    </font>
    <font>
      <sz val="6"/>
      <name val="Consolas"/>
      <family val="3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5"/>
      <color theme="1"/>
      <name val="Arial"/>
      <family val="2"/>
    </font>
    <font>
      <sz val="11"/>
      <color theme="1"/>
      <name val="Consolas"/>
      <family val="3"/>
    </font>
    <font>
      <sz val="11"/>
      <color theme="7" tint="0.79998168889431442"/>
      <name val="Consolas"/>
      <family val="3"/>
    </font>
    <font>
      <b/>
      <sz val="11"/>
      <color theme="0"/>
      <name val="Consolas"/>
      <family val="3"/>
    </font>
    <font>
      <sz val="11"/>
      <name val="Consolas"/>
      <family val="3"/>
    </font>
    <font>
      <sz val="11"/>
      <color theme="0"/>
      <name val="Consolas"/>
      <family val="3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FF0000"/>
      <name val="Consolas"/>
      <family val="3"/>
    </font>
    <font>
      <sz val="16"/>
      <color rgb="FF0088B8"/>
      <name val="Arial"/>
      <family val="2"/>
    </font>
    <font>
      <sz val="3"/>
      <color theme="0"/>
      <name val="Consolas"/>
      <family val="3"/>
    </font>
    <font>
      <b/>
      <sz val="11"/>
      <color rgb="FFF7FDFF"/>
      <name val="Consolas"/>
      <family val="3"/>
    </font>
    <font>
      <sz val="11"/>
      <color theme="0"/>
      <name val="Calibri"/>
      <family val="2"/>
      <scheme val="minor"/>
    </font>
    <font>
      <sz val="11"/>
      <color rgb="FFF7FDFF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F5FF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rgb="FFF7FDFF"/>
        <bgColor indexed="64"/>
      </patternFill>
    </fill>
    <fill>
      <patternFill patternType="solid">
        <fgColor rgb="FF0088B8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7">
    <xf numFmtId="0" fontId="0" fillId="0" borderId="0" xfId="0"/>
    <xf numFmtId="166" fontId="0" fillId="0" borderId="0" xfId="1" applyNumberFormat="1" applyFont="1"/>
    <xf numFmtId="0" fontId="2" fillId="0" borderId="0" xfId="0" applyFont="1"/>
    <xf numFmtId="0" fontId="5" fillId="4" borderId="0" xfId="0" applyFont="1" applyFill="1"/>
    <xf numFmtId="0" fontId="5" fillId="0" borderId="0" xfId="0" applyFont="1"/>
    <xf numFmtId="0" fontId="11" fillId="4" borderId="10" xfId="0" applyFont="1" applyFill="1" applyBorder="1"/>
    <xf numFmtId="0" fontId="5" fillId="4" borderId="10" xfId="0" applyFont="1" applyFill="1" applyBorder="1"/>
    <xf numFmtId="0" fontId="7" fillId="4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top"/>
    </xf>
    <xf numFmtId="0" fontId="11" fillId="0" borderId="12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11" fillId="0" borderId="0" xfId="0" applyFont="1"/>
    <xf numFmtId="0" fontId="18" fillId="0" borderId="0" xfId="0" applyFont="1" applyAlignment="1">
      <alignment vertical="center"/>
    </xf>
    <xf numFmtId="0" fontId="18" fillId="0" borderId="0" xfId="0" applyFont="1"/>
    <xf numFmtId="0" fontId="19" fillId="0" borderId="0" xfId="0" applyFont="1"/>
    <xf numFmtId="0" fontId="21" fillId="0" borderId="0" xfId="0" applyFont="1" applyAlignment="1">
      <alignment vertical="center"/>
    </xf>
    <xf numFmtId="0" fontId="21" fillId="0" borderId="0" xfId="0" applyFont="1"/>
    <xf numFmtId="0" fontId="22" fillId="0" borderId="0" xfId="0" applyFont="1"/>
    <xf numFmtId="2" fontId="22" fillId="0" borderId="0" xfId="0" applyNumberFormat="1" applyFont="1" applyAlignment="1">
      <alignment wrapText="1"/>
    </xf>
    <xf numFmtId="2" fontId="22" fillId="0" borderId="0" xfId="0" applyNumberFormat="1" applyFont="1"/>
    <xf numFmtId="0" fontId="20" fillId="7" borderId="0" xfId="0" applyFont="1" applyFill="1" applyAlignment="1">
      <alignment horizontal="center" vertical="center"/>
    </xf>
    <xf numFmtId="0" fontId="18" fillId="0" borderId="0" xfId="0" applyFont="1" applyAlignment="1">
      <alignment horizontal="left" vertical="top"/>
    </xf>
    <xf numFmtId="0" fontId="23" fillId="7" borderId="0" xfId="0" applyFont="1" applyFill="1" applyAlignment="1">
      <alignment horizontal="center"/>
    </xf>
    <xf numFmtId="0" fontId="24" fillId="7" borderId="0" xfId="0" applyFont="1" applyFill="1" applyAlignment="1">
      <alignment horizontal="center"/>
    </xf>
    <xf numFmtId="0" fontId="5" fillId="3" borderId="0" xfId="0" applyFont="1" applyFill="1"/>
    <xf numFmtId="43" fontId="25" fillId="0" borderId="0" xfId="3" applyFont="1" applyAlignment="1"/>
    <xf numFmtId="4" fontId="12" fillId="0" borderId="13" xfId="3" applyNumberFormat="1" applyFont="1" applyBorder="1" applyProtection="1"/>
    <xf numFmtId="4" fontId="11" fillId="0" borderId="0" xfId="3" applyNumberFormat="1" applyFont="1" applyProtection="1"/>
    <xf numFmtId="4" fontId="12" fillId="0" borderId="12" xfId="3" applyNumberFormat="1" applyFont="1" applyBorder="1" applyProtection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22" fontId="0" fillId="0" borderId="0" xfId="0" applyNumberFormat="1"/>
    <xf numFmtId="0" fontId="23" fillId="0" borderId="0" xfId="0" applyFont="1"/>
    <xf numFmtId="0" fontId="27" fillId="0" borderId="0" xfId="0" quotePrefix="1" applyFont="1" applyAlignment="1">
      <alignment horizontal="left"/>
    </xf>
    <xf numFmtId="166" fontId="0" fillId="0" borderId="0" xfId="0" applyNumberFormat="1"/>
    <xf numFmtId="0" fontId="2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top"/>
    </xf>
    <xf numFmtId="0" fontId="22" fillId="0" borderId="0" xfId="0" applyFont="1" applyAlignment="1">
      <alignment vertical="center"/>
    </xf>
    <xf numFmtId="164" fontId="25" fillId="0" borderId="0" xfId="0" applyNumberFormat="1" applyFont="1"/>
    <xf numFmtId="0" fontId="22" fillId="0" borderId="0" xfId="0" applyFont="1" applyAlignment="1">
      <alignment horizontal="left" vertical="top"/>
    </xf>
    <xf numFmtId="14" fontId="22" fillId="0" borderId="0" xfId="0" applyNumberFormat="1" applyFont="1" applyAlignment="1">
      <alignment horizontal="left" vertical="top"/>
    </xf>
    <xf numFmtId="7" fontId="18" fillId="0" borderId="0" xfId="0" applyNumberFormat="1" applyFont="1" applyAlignment="1">
      <alignment vertical="center"/>
    </xf>
    <xf numFmtId="164" fontId="28" fillId="0" borderId="0" xfId="0" applyNumberFormat="1" applyFont="1" applyAlignment="1">
      <alignment wrapText="1"/>
    </xf>
    <xf numFmtId="0" fontId="4" fillId="0" borderId="0" xfId="0" applyFont="1" applyAlignment="1">
      <alignment horizontal="center"/>
    </xf>
    <xf numFmtId="0" fontId="29" fillId="0" borderId="0" xfId="0" applyFont="1"/>
    <xf numFmtId="0" fontId="30" fillId="0" borderId="0" xfId="0" applyFont="1" applyAlignment="1">
      <alignment vertical="center"/>
    </xf>
    <xf numFmtId="39" fontId="30" fillId="0" borderId="0" xfId="0" applyNumberFormat="1" applyFont="1" applyAlignment="1">
      <alignment vertical="center"/>
    </xf>
    <xf numFmtId="4" fontId="30" fillId="0" borderId="0" xfId="0" applyNumberFormat="1" applyFont="1" applyAlignment="1">
      <alignment vertical="center"/>
    </xf>
    <xf numFmtId="0" fontId="14" fillId="0" borderId="0" xfId="0" applyFont="1" applyAlignment="1">
      <alignment horizontal="left"/>
    </xf>
    <xf numFmtId="167" fontId="14" fillId="0" borderId="0" xfId="0" applyNumberFormat="1" applyFont="1"/>
    <xf numFmtId="2" fontId="14" fillId="0" borderId="0" xfId="0" applyNumberFormat="1" applyFont="1" applyAlignment="1">
      <alignment horizontal="right"/>
    </xf>
    <xf numFmtId="0" fontId="5" fillId="0" borderId="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 wrapText="1"/>
    </xf>
    <xf numFmtId="39" fontId="16" fillId="2" borderId="7" xfId="3" applyNumberFormat="1" applyFont="1" applyFill="1" applyBorder="1" applyAlignment="1" applyProtection="1">
      <alignment horizontal="center" vertical="center"/>
    </xf>
    <xf numFmtId="39" fontId="16" fillId="2" borderId="0" xfId="3" applyNumberFormat="1" applyFont="1" applyFill="1" applyBorder="1" applyAlignment="1" applyProtection="1">
      <alignment horizontal="center" vertical="center"/>
    </xf>
    <xf numFmtId="39" fontId="16" fillId="2" borderId="3" xfId="3" applyNumberFormat="1" applyFont="1" applyFill="1" applyBorder="1" applyAlignment="1" applyProtection="1">
      <alignment horizontal="center" vertical="center"/>
    </xf>
    <xf numFmtId="39" fontId="16" fillId="2" borderId="6" xfId="3" applyNumberFormat="1" applyFont="1" applyFill="1" applyBorder="1" applyAlignment="1" applyProtection="1">
      <alignment horizontal="center" vertical="center"/>
    </xf>
    <xf numFmtId="39" fontId="17" fillId="0" borderId="0" xfId="3" applyNumberFormat="1" applyFont="1" applyBorder="1" applyAlignment="1" applyProtection="1">
      <alignment horizontal="right" vertical="center"/>
    </xf>
    <xf numFmtId="39" fontId="17" fillId="0" borderId="8" xfId="3" applyNumberFormat="1" applyFont="1" applyBorder="1" applyAlignment="1" applyProtection="1">
      <alignment horizontal="right" vertical="center"/>
    </xf>
    <xf numFmtId="39" fontId="17" fillId="0" borderId="6" xfId="3" applyNumberFormat="1" applyFont="1" applyBorder="1" applyAlignment="1" applyProtection="1">
      <alignment horizontal="right" vertical="center"/>
    </xf>
    <xf numFmtId="39" fontId="17" fillId="0" borderId="4" xfId="3" applyNumberFormat="1" applyFont="1" applyBorder="1" applyAlignment="1" applyProtection="1">
      <alignment horizontal="right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39" fontId="15" fillId="2" borderId="7" xfId="3" applyNumberFormat="1" applyFont="1" applyFill="1" applyBorder="1" applyAlignment="1" applyProtection="1">
      <alignment horizontal="center" vertical="center"/>
    </xf>
    <xf numFmtId="39" fontId="15" fillId="2" borderId="0" xfId="3" applyNumberFormat="1" applyFont="1" applyFill="1" applyBorder="1" applyAlignment="1" applyProtection="1">
      <alignment horizontal="center" vertical="center"/>
    </xf>
    <xf numFmtId="39" fontId="8" fillId="4" borderId="1" xfId="3" applyNumberFormat="1" applyFont="1" applyFill="1" applyBorder="1" applyAlignment="1" applyProtection="1">
      <alignment horizontal="center" vertical="center"/>
    </xf>
    <xf numFmtId="39" fontId="8" fillId="4" borderId="5" xfId="3" applyNumberFormat="1" applyFont="1" applyFill="1" applyBorder="1" applyAlignment="1" applyProtection="1">
      <alignment horizontal="center" vertical="center"/>
    </xf>
    <xf numFmtId="39" fontId="8" fillId="4" borderId="2" xfId="3" applyNumberFormat="1" applyFont="1" applyFill="1" applyBorder="1" applyAlignment="1" applyProtection="1">
      <alignment horizontal="center" vertical="center"/>
    </xf>
    <xf numFmtId="39" fontId="8" fillId="4" borderId="7" xfId="3" applyNumberFormat="1" applyFont="1" applyFill="1" applyBorder="1" applyAlignment="1" applyProtection="1">
      <alignment horizontal="center" vertical="center"/>
    </xf>
    <xf numFmtId="39" fontId="8" fillId="4" borderId="0" xfId="3" applyNumberFormat="1" applyFont="1" applyFill="1" applyBorder="1" applyAlignment="1" applyProtection="1">
      <alignment horizontal="center" vertical="center"/>
    </xf>
    <xf numFmtId="39" fontId="8" fillId="4" borderId="8" xfId="3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horizontal="right"/>
    </xf>
    <xf numFmtId="0" fontId="12" fillId="0" borderId="12" xfId="0" applyFont="1" applyBorder="1" applyAlignment="1">
      <alignment horizontal="right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12" fillId="0" borderId="13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right"/>
    </xf>
    <xf numFmtId="0" fontId="10" fillId="6" borderId="11" xfId="0" applyFont="1" applyFill="1" applyBorder="1" applyAlignment="1">
      <alignment horizontal="right"/>
    </xf>
    <xf numFmtId="22" fontId="5" fillId="6" borderId="10" xfId="0" applyNumberFormat="1" applyFont="1" applyFill="1" applyBorder="1" applyAlignment="1">
      <alignment horizontal="center"/>
    </xf>
    <xf numFmtId="22" fontId="5" fillId="6" borderId="11" xfId="0" applyNumberFormat="1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5" fillId="6" borderId="11" xfId="0" applyFont="1" applyFill="1" applyBorder="1" applyAlignment="1">
      <alignment horizontal="center"/>
    </xf>
    <xf numFmtId="170" fontId="5" fillId="3" borderId="3" xfId="1" applyNumberFormat="1" applyFont="1" applyFill="1" applyBorder="1" applyAlignment="1" applyProtection="1">
      <alignment horizontal="right"/>
    </xf>
    <xf numFmtId="170" fontId="5" fillId="3" borderId="6" xfId="1" applyNumberFormat="1" applyFont="1" applyFill="1" applyBorder="1" applyAlignment="1" applyProtection="1">
      <alignment horizontal="right"/>
    </xf>
    <xf numFmtId="170" fontId="5" fillId="3" borderId="4" xfId="1" applyNumberFormat="1" applyFont="1" applyFill="1" applyBorder="1" applyAlignment="1" applyProtection="1">
      <alignment horizontal="right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8" xfId="0" applyFont="1" applyFill="1" applyBorder="1" applyAlignment="1">
      <alignment horizontal="center"/>
    </xf>
    <xf numFmtId="169" fontId="5" fillId="0" borderId="7" xfId="0" applyNumberFormat="1" applyFont="1" applyBorder="1" applyAlignment="1">
      <alignment horizontal="right"/>
    </xf>
    <xf numFmtId="169" fontId="5" fillId="0" borderId="0" xfId="0" applyNumberFormat="1" applyFont="1" applyAlignment="1">
      <alignment horizontal="right"/>
    </xf>
    <xf numFmtId="169" fontId="5" fillId="0" borderId="8" xfId="0" applyNumberFormat="1" applyFont="1" applyBorder="1" applyAlignment="1">
      <alignment horizontal="right"/>
    </xf>
    <xf numFmtId="0" fontId="26" fillId="0" borderId="0" xfId="0" applyFont="1" applyAlignment="1">
      <alignment horizontal="center"/>
    </xf>
    <xf numFmtId="0" fontId="11" fillId="0" borderId="13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12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8" fillId="5" borderId="1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right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7" fontId="5" fillId="3" borderId="3" xfId="0" applyNumberFormat="1" applyFont="1" applyFill="1" applyBorder="1" applyAlignment="1">
      <alignment horizontal="center"/>
    </xf>
    <xf numFmtId="167" fontId="5" fillId="3" borderId="4" xfId="0" applyNumberFormat="1" applyFont="1" applyFill="1" applyBorder="1" applyAlignment="1">
      <alignment horizontal="center"/>
    </xf>
    <xf numFmtId="165" fontId="5" fillId="3" borderId="7" xfId="1" applyFont="1" applyFill="1" applyBorder="1" applyAlignment="1" applyProtection="1"/>
    <xf numFmtId="165" fontId="5" fillId="3" borderId="8" xfId="1" applyFont="1" applyFill="1" applyBorder="1" applyAlignment="1" applyProtection="1"/>
    <xf numFmtId="166" fontId="5" fillId="3" borderId="3" xfId="0" applyNumberFormat="1" applyFont="1" applyFill="1" applyBorder="1" applyAlignment="1">
      <alignment horizontal="right"/>
    </xf>
    <xf numFmtId="166" fontId="5" fillId="3" borderId="4" xfId="0" applyNumberFormat="1" applyFont="1" applyFill="1" applyBorder="1" applyAlignment="1">
      <alignment horizontal="right"/>
    </xf>
    <xf numFmtId="0" fontId="12" fillId="0" borderId="0" xfId="0" applyFont="1" applyAlignment="1">
      <alignment horizontal="center"/>
    </xf>
    <xf numFmtId="0" fontId="9" fillId="4" borderId="0" xfId="0" applyFont="1" applyFill="1" applyAlignment="1">
      <alignment horizontal="center"/>
    </xf>
    <xf numFmtId="0" fontId="23" fillId="7" borderId="0" xfId="0" applyFont="1" applyFill="1" applyAlignment="1">
      <alignment horizontal="center"/>
    </xf>
    <xf numFmtId="0" fontId="22" fillId="0" borderId="0" xfId="0" applyFont="1" applyAlignment="1">
      <alignment horizontal="left" vertical="center"/>
    </xf>
  </cellXfs>
  <cellStyles count="4">
    <cellStyle name="Millares" xfId="3" builtinId="3"/>
    <cellStyle name="Moneda" xfId="1" builtinId="4"/>
    <cellStyle name="Moneda 2" xfId="2" xr:uid="{3C64B167-47C0-4404-8B0B-AE665A3A7AEF}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  <alignment horizontal="center" vertical="bottom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  <alignment horizontal="center"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$-540A]* #,##0.00_ ;_-[$$-540A]* \-#,##0.00\ ;_-[$$-540A]* &quot;-&quot;??_ ;_-@_ 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167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top style="dotted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border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segmentación de datos 1" pivot="0" table="0" count="1" xr9:uid="{B4033F87-D671-4A28-8541-148341289CE7}">
      <tableStyleElement type="headerRow" dxfId="19"/>
    </tableStyle>
  </tableStyles>
  <colors>
    <mruColors>
      <color rgb="FFF7FDFF"/>
      <color rgb="FF0088B8"/>
      <color rgb="FFD9F5FF"/>
      <color rgb="FF66FFFF"/>
      <color rgb="FF81DEFF"/>
      <color rgb="FFA7E8FF"/>
      <color rgb="FF47C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66184</xdr:colOff>
      <xdr:row>0</xdr:row>
      <xdr:rowOff>19050</xdr:rowOff>
    </xdr:from>
    <xdr:to>
      <xdr:col>8</xdr:col>
      <xdr:colOff>116537</xdr:colOff>
      <xdr:row>2</xdr:row>
      <xdr:rowOff>114300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D89ED0B6-5A35-4FC2-8048-F2482B686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2184" y="19050"/>
          <a:ext cx="1134471" cy="400050"/>
        </a:xfrm>
        <a:prstGeom prst="rect">
          <a:avLst/>
        </a:prstGeom>
        <a:noFill/>
      </xdr:spPr>
    </xdr:pic>
    <xdr:clientData/>
  </xdr:twoCellAnchor>
  <xdr:twoCellAnchor>
    <xdr:from>
      <xdr:col>8</xdr:col>
      <xdr:colOff>178593</xdr:colOff>
      <xdr:row>5</xdr:row>
      <xdr:rowOff>0</xdr:rowOff>
    </xdr:from>
    <xdr:to>
      <xdr:col>12</xdr:col>
      <xdr:colOff>375047</xdr:colOff>
      <xdr:row>13</xdr:row>
      <xdr:rowOff>145381</xdr:rowOff>
    </xdr:to>
    <xdr:sp macro="" textlink="">
      <xdr:nvSpPr>
        <xdr:cNvPr id="4" name="ImagenProd">
          <a:extLst>
            <a:ext uri="{FF2B5EF4-FFF2-40B4-BE49-F238E27FC236}">
              <a16:creationId xmlns:a16="http://schemas.microsoft.com/office/drawing/2014/main" id="{CBE7441D-F960-4969-A8CF-853E37D19DF7}"/>
            </a:ext>
          </a:extLst>
        </xdr:cNvPr>
        <xdr:cNvSpPr/>
      </xdr:nvSpPr>
      <xdr:spPr>
        <a:xfrm>
          <a:off x="3351609" y="773906"/>
          <a:ext cx="1518047" cy="1383631"/>
        </a:xfrm>
        <a:prstGeom prst="rect">
          <a:avLst/>
        </a:prstGeom>
        <a:solidFill>
          <a:srgbClr val="FFFFFF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 editAs="oneCell">
    <xdr:from>
      <xdr:col>4</xdr:col>
      <xdr:colOff>209870</xdr:colOff>
      <xdr:row>18</xdr:row>
      <xdr:rowOff>147205</xdr:rowOff>
    </xdr:from>
    <xdr:to>
      <xdr:col>5</xdr:col>
      <xdr:colOff>3820</xdr:colOff>
      <xdr:row>20</xdr:row>
      <xdr:rowOff>15477</xdr:rowOff>
    </xdr:to>
    <xdr:pic macro="[0]!btnBCVDOLAR">
      <xdr:nvPicPr>
        <xdr:cNvPr id="6" name="APIBCV" descr="Repetir">
          <a:extLst>
            <a:ext uri="{FF2B5EF4-FFF2-40B4-BE49-F238E27FC236}">
              <a16:creationId xmlns:a16="http://schemas.microsoft.com/office/drawing/2014/main" id="{3D496051-AA18-4482-855D-047890C6B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3870" y="2952750"/>
          <a:ext cx="174950" cy="180000"/>
        </a:xfrm>
        <a:prstGeom prst="rect">
          <a:avLst/>
        </a:prstGeom>
      </xdr:spPr>
    </xdr:pic>
    <xdr:clientData/>
  </xdr:twoCellAnchor>
  <xdr:twoCellAnchor editAs="oneCell">
    <xdr:from>
      <xdr:col>9</xdr:col>
      <xdr:colOff>246371</xdr:colOff>
      <xdr:row>18</xdr:row>
      <xdr:rowOff>52573</xdr:rowOff>
    </xdr:from>
    <xdr:to>
      <xdr:col>11</xdr:col>
      <xdr:colOff>43084</xdr:colOff>
      <xdr:row>21</xdr:row>
      <xdr:rowOff>140135</xdr:rowOff>
    </xdr:to>
    <xdr:pic macro="[0]!PagoCOMB">
      <xdr:nvPicPr>
        <xdr:cNvPr id="18" name="Combinado">
          <a:extLst>
            <a:ext uri="{FF2B5EF4-FFF2-40B4-BE49-F238E27FC236}">
              <a16:creationId xmlns:a16="http://schemas.microsoft.com/office/drawing/2014/main" id="{049E8D4A-8DD3-4626-9B64-397C9A878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761096" y="2795773"/>
          <a:ext cx="558713" cy="544762"/>
        </a:xfrm>
        <a:prstGeom prst="rect">
          <a:avLst/>
        </a:prstGeom>
      </xdr:spPr>
    </xdr:pic>
    <xdr:clientData/>
  </xdr:twoCellAnchor>
  <xdr:twoCellAnchor editAs="oneCell">
    <xdr:from>
      <xdr:col>7</xdr:col>
      <xdr:colOff>249208</xdr:colOff>
      <xdr:row>18</xdr:row>
      <xdr:rowOff>52573</xdr:rowOff>
    </xdr:from>
    <xdr:to>
      <xdr:col>9</xdr:col>
      <xdr:colOff>204101</xdr:colOff>
      <xdr:row>21</xdr:row>
      <xdr:rowOff>121518</xdr:rowOff>
    </xdr:to>
    <xdr:pic macro="[0]!PagoBSS">
      <xdr:nvPicPr>
        <xdr:cNvPr id="20" name="VES">
          <a:extLst>
            <a:ext uri="{FF2B5EF4-FFF2-40B4-BE49-F238E27FC236}">
              <a16:creationId xmlns:a16="http://schemas.microsoft.com/office/drawing/2014/main" id="{ED0C4686-6CF7-4C1F-ADFE-1018164D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182908" y="2795773"/>
          <a:ext cx="535918" cy="526145"/>
        </a:xfrm>
        <a:prstGeom prst="rect">
          <a:avLst/>
        </a:prstGeom>
      </xdr:spPr>
    </xdr:pic>
    <xdr:clientData/>
  </xdr:twoCellAnchor>
  <xdr:twoCellAnchor editAs="oneCell">
    <xdr:from>
      <xdr:col>6</xdr:col>
      <xdr:colOff>349151</xdr:colOff>
      <xdr:row>18</xdr:row>
      <xdr:rowOff>52573</xdr:rowOff>
    </xdr:from>
    <xdr:to>
      <xdr:col>7</xdr:col>
      <xdr:colOff>206938</xdr:colOff>
      <xdr:row>21</xdr:row>
      <xdr:rowOff>121518</xdr:rowOff>
    </xdr:to>
    <xdr:pic macro="[0]!PagoPM">
      <xdr:nvPicPr>
        <xdr:cNvPr id="22" name="PagoM" descr="Pago Móvil">
          <a:extLst>
            <a:ext uri="{FF2B5EF4-FFF2-40B4-BE49-F238E27FC236}">
              <a16:creationId xmlns:a16="http://schemas.microsoft.com/office/drawing/2014/main" id="{363A3AD7-F5E9-4B1C-B7C1-50D59D5DB52C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597051" y="2795773"/>
          <a:ext cx="543587" cy="526145"/>
        </a:xfrm>
        <a:prstGeom prst="rect">
          <a:avLst/>
        </a:prstGeom>
      </xdr:spPr>
    </xdr:pic>
    <xdr:clientData/>
  </xdr:twoCellAnchor>
  <xdr:twoCellAnchor editAs="oneCell">
    <xdr:from>
      <xdr:col>5</xdr:col>
      <xdr:colOff>113245</xdr:colOff>
      <xdr:row>18</xdr:row>
      <xdr:rowOff>52573</xdr:rowOff>
    </xdr:from>
    <xdr:to>
      <xdr:col>6</xdr:col>
      <xdr:colOff>306881</xdr:colOff>
      <xdr:row>21</xdr:row>
      <xdr:rowOff>124982</xdr:rowOff>
    </xdr:to>
    <xdr:pic macro="[0]!PagoTDD">
      <xdr:nvPicPr>
        <xdr:cNvPr id="24" name="Tarjeta">
          <a:extLst>
            <a:ext uri="{FF2B5EF4-FFF2-40B4-BE49-F238E27FC236}">
              <a16:creationId xmlns:a16="http://schemas.microsoft.com/office/drawing/2014/main" id="{8A05B0AB-490B-42E6-B69A-67F4772DA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18245" y="2795773"/>
          <a:ext cx="536536" cy="529609"/>
        </a:xfrm>
        <a:prstGeom prst="rect">
          <a:avLst/>
        </a:prstGeom>
      </xdr:spPr>
    </xdr:pic>
    <xdr:clientData/>
  </xdr:twoCellAnchor>
  <xdr:twoCellAnchor editAs="oneCell">
    <xdr:from>
      <xdr:col>11</xdr:col>
      <xdr:colOff>85356</xdr:colOff>
      <xdr:row>18</xdr:row>
      <xdr:rowOff>52573</xdr:rowOff>
    </xdr:from>
    <xdr:to>
      <xdr:col>12</xdr:col>
      <xdr:colOff>241529</xdr:colOff>
      <xdr:row>22</xdr:row>
      <xdr:rowOff>1555</xdr:rowOff>
    </xdr:to>
    <xdr:pic macro="[0]!PagoUSD">
      <xdr:nvPicPr>
        <xdr:cNvPr id="26" name="USD">
          <a:extLst>
            <a:ext uri="{FF2B5EF4-FFF2-40B4-BE49-F238E27FC236}">
              <a16:creationId xmlns:a16="http://schemas.microsoft.com/office/drawing/2014/main" id="{24BE37EC-A37A-4BAE-947E-FA45EE5B8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362081" y="2795773"/>
          <a:ext cx="537173" cy="554349"/>
        </a:xfrm>
        <a:prstGeom prst="rect">
          <a:avLst/>
        </a:prstGeom>
      </xdr:spPr>
    </xdr:pic>
    <xdr:clientData/>
  </xdr:twoCellAnchor>
  <xdr:twoCellAnchor editAs="oneCell">
    <xdr:from>
      <xdr:col>6</xdr:col>
      <xdr:colOff>77933</xdr:colOff>
      <xdr:row>23</xdr:row>
      <xdr:rowOff>8659</xdr:rowOff>
    </xdr:from>
    <xdr:to>
      <xdr:col>6</xdr:col>
      <xdr:colOff>653933</xdr:colOff>
      <xdr:row>26</xdr:row>
      <xdr:rowOff>117068</xdr:rowOff>
    </xdr:to>
    <xdr:pic macro="[0]!btnINTERCAMB">
      <xdr:nvPicPr>
        <xdr:cNvPr id="34" name="Convertir">
          <a:extLst>
            <a:ext uri="{FF2B5EF4-FFF2-40B4-BE49-F238E27FC236}">
              <a16:creationId xmlns:a16="http://schemas.microsoft.com/office/drawing/2014/main" id="{7C059DAA-667F-43D1-95F2-72FBB6F53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286001" y="3593523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27</xdr:row>
      <xdr:rowOff>47625</xdr:rowOff>
    </xdr:from>
    <xdr:to>
      <xdr:col>5</xdr:col>
      <xdr:colOff>9825</xdr:colOff>
      <xdr:row>31</xdr:row>
      <xdr:rowOff>86025</xdr:rowOff>
    </xdr:to>
    <xdr:pic macro="[0]!btnLIMPIAR">
      <xdr:nvPicPr>
        <xdr:cNvPr id="36" name="Limpiar">
          <a:extLst>
            <a:ext uri="{FF2B5EF4-FFF2-40B4-BE49-F238E27FC236}">
              <a16:creationId xmlns:a16="http://schemas.microsoft.com/office/drawing/2014/main" id="{0C23E235-0381-47C6-AB3C-8B8A732ED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266825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350025</xdr:colOff>
      <xdr:row>27</xdr:row>
      <xdr:rowOff>47625</xdr:rowOff>
    </xdr:from>
    <xdr:to>
      <xdr:col>12</xdr:col>
      <xdr:colOff>236025</xdr:colOff>
      <xdr:row>31</xdr:row>
      <xdr:rowOff>86025</xdr:rowOff>
    </xdr:to>
    <xdr:pic macro="[0]!btnGuardar">
      <xdr:nvPicPr>
        <xdr:cNvPr id="38" name="Guardar">
          <a:extLst>
            <a:ext uri="{FF2B5EF4-FFF2-40B4-BE49-F238E27FC236}">
              <a16:creationId xmlns:a16="http://schemas.microsoft.com/office/drawing/2014/main" id="{9ADBD24B-45E7-49B2-BACD-EB851424E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245750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508388</xdr:colOff>
      <xdr:row>27</xdr:row>
      <xdr:rowOff>47625</xdr:rowOff>
    </xdr:from>
    <xdr:to>
      <xdr:col>8</xdr:col>
      <xdr:colOff>70538</xdr:colOff>
      <xdr:row>31</xdr:row>
      <xdr:rowOff>86025</xdr:rowOff>
    </xdr:to>
    <xdr:pic macro="[0]!btnImprimir">
      <xdr:nvPicPr>
        <xdr:cNvPr id="40" name="Imprimir">
          <a:extLst>
            <a:ext uri="{FF2B5EF4-FFF2-40B4-BE49-F238E27FC236}">
              <a16:creationId xmlns:a16="http://schemas.microsoft.com/office/drawing/2014/main" id="{8895A97E-1E0B-4A9F-AD67-876C5086A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56288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95912</xdr:colOff>
      <xdr:row>4</xdr:row>
      <xdr:rowOff>3750</xdr:rowOff>
    </xdr:from>
    <xdr:to>
      <xdr:col>21</xdr:col>
      <xdr:colOff>685800</xdr:colOff>
      <xdr:row>7</xdr:row>
      <xdr:rowOff>133350</xdr:rowOff>
    </xdr:to>
    <xdr:pic macro="[0]!btnCAMBIAR">
      <xdr:nvPicPr>
        <xdr:cNvPr id="45" name="Cambiar">
          <a:extLst>
            <a:ext uri="{FF2B5EF4-FFF2-40B4-BE49-F238E27FC236}">
              <a16:creationId xmlns:a16="http://schemas.microsoft.com/office/drawing/2014/main" id="{6E2D6225-E464-438F-BE1E-690864CD3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9030362" y="613350"/>
          <a:ext cx="589888" cy="586800"/>
        </a:xfrm>
        <a:prstGeom prst="rect">
          <a:avLst/>
        </a:prstGeom>
      </xdr:spPr>
    </xdr:pic>
    <xdr:clientData/>
  </xdr:twoCellAnchor>
  <xdr:twoCellAnchor>
    <xdr:from>
      <xdr:col>5</xdr:col>
      <xdr:colOff>337704</xdr:colOff>
      <xdr:row>25</xdr:row>
      <xdr:rowOff>121227</xdr:rowOff>
    </xdr:from>
    <xdr:to>
      <xdr:col>6</xdr:col>
      <xdr:colOff>243340</xdr:colOff>
      <xdr:row>27</xdr:row>
      <xdr:rowOff>61500</xdr:rowOff>
    </xdr:to>
    <xdr:sp macro="[0]!btnCOMPLETAR" textlink="">
      <xdr:nvSpPr>
        <xdr:cNvPr id="46" name="Elipse 45">
          <a:extLst>
            <a:ext uri="{FF2B5EF4-FFF2-40B4-BE49-F238E27FC236}">
              <a16:creationId xmlns:a16="http://schemas.microsoft.com/office/drawing/2014/main" id="{4CD81DFC-E53A-465E-BB28-848D28ADF0DE}"/>
            </a:ext>
          </a:extLst>
        </xdr:cNvPr>
        <xdr:cNvSpPr/>
      </xdr:nvSpPr>
      <xdr:spPr>
        <a:xfrm>
          <a:off x="2242704" y="4017818"/>
          <a:ext cx="252000" cy="252000"/>
        </a:xfrm>
        <a:prstGeom prst="ellipse">
          <a:avLst/>
        </a:prstGeom>
        <a:solidFill>
          <a:srgbClr val="66FFFF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100" b="1">
              <a:solidFill>
                <a:srgbClr val="0088B8"/>
              </a:solidFill>
            </a:rPr>
            <a:t>+</a:t>
          </a:r>
        </a:p>
      </xdr:txBody>
    </xdr:sp>
    <xdr:clientData/>
  </xdr:twoCellAnchor>
  <xdr:twoCellAnchor editAs="oneCell">
    <xdr:from>
      <xdr:col>25</xdr:col>
      <xdr:colOff>328721</xdr:colOff>
      <xdr:row>25</xdr:row>
      <xdr:rowOff>151534</xdr:rowOff>
    </xdr:from>
    <xdr:to>
      <xdr:col>26</xdr:col>
      <xdr:colOff>0</xdr:colOff>
      <xdr:row>27</xdr:row>
      <xdr:rowOff>109807</xdr:rowOff>
    </xdr:to>
    <xdr:pic macro="[0]!btnLIMPCOMENT">
      <xdr:nvPicPr>
        <xdr:cNvPr id="48" name="Gráfico 47">
          <a:extLst>
            <a:ext uri="{FF2B5EF4-FFF2-40B4-BE49-F238E27FC236}">
              <a16:creationId xmlns:a16="http://schemas.microsoft.com/office/drawing/2014/main" id="{E58067B2-C4F2-4576-B941-210907414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1001051" y="3939886"/>
          <a:ext cx="537188" cy="26134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CB37DDD5-8CFF-44CE-829D-8857D85325A9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65B8D7-CA5C-4C18-8599-40374E4F6314}" name="TablaFACT" displayName="TablaFACT" ref="Q10:T11" insertRowShift="1" totalsRowShown="0" headerRowDxfId="18" dataDxfId="16" headerRowBorderDxfId="17" tableBorderDxfId="15">
  <autoFilter ref="Q10:T11" xr:uid="{16026139-6E87-4109-BE83-1FF327AB20D1}">
    <filterColumn colId="0" hiddenButton="1"/>
    <filterColumn colId="1" hiddenButton="1"/>
    <filterColumn colId="2" hiddenButton="1"/>
    <filterColumn colId="3" hiddenButton="1"/>
  </autoFilter>
  <tableColumns count="4">
    <tableColumn id="1" xr3:uid="{30492BA9-CABB-4556-9825-1166B73CE6CB}" name="Producto" dataDxfId="14"/>
    <tableColumn id="2" xr3:uid="{EF831B08-E564-4B4E-A748-D392FE543EDA}" name="Cant" dataDxfId="13"/>
    <tableColumn id="3" xr3:uid="{B9039A85-CD7F-4123-B2B8-B670C4166CDD}" name="Precio(REF)" dataDxfId="12"/>
    <tableColumn id="4" xr3:uid="{86FC204B-DEC2-4C78-9488-C6EAE0F39FAC}" name="Total(REF)" dataDxfId="11">
      <calculatedColumnFormula>TablaFACT[[#This Row],[Precio(REF)]]*TablaFACT[[#This Row],[Cant]]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F1C16D-FA95-4E22-962C-9F91AE89AE0D}" name="Productos" displayName="Productos" ref="A2:E3" insertRow="1" totalsRowShown="0" headerRowDxfId="10">
  <autoFilter ref="A2:E3" xr:uid="{0E680EF4-2FE4-4F1B-9C45-874E8E9352BB}"/>
  <tableColumns count="5">
    <tableColumn id="1" xr3:uid="{9E5DD0E4-334A-47A2-ADF3-64C408A15353}" name="ID" dataDxfId="9"/>
    <tableColumn id="2" xr3:uid="{06C5D0CA-AD33-4D5D-AF75-E5866EF57A9B}" name="Producto"/>
    <tableColumn id="3" xr3:uid="{22243893-67FB-4865-8D3B-E6D30591AC8A}" name="Descripción" dataDxfId="8"/>
    <tableColumn id="4" xr3:uid="{863BDFC6-B88F-4120-A606-4E6F2B6EEC2E}" name="Precio" dataDxfId="7"/>
    <tableColumn id="5" xr3:uid="{8A28A1AC-89C9-48B9-BD67-ADE874043D0B}" name="Ruta" dataDxfId="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9C2324-D6A5-4BC4-8A28-571ACD28C35E}" name="Facturas" displayName="Facturas" ref="G2:H3" totalsRowShown="0" headerRowDxfId="5">
  <autoFilter ref="G2:H3" xr:uid="{834D031E-98BF-458E-8B3C-276CD241A65F}"/>
  <tableColumns count="2">
    <tableColumn id="1" xr3:uid="{4118877F-A80F-48B0-9D6F-657907140624}" name="ID"/>
    <tableColumn id="2" xr3:uid="{66012FFE-AC88-4772-95F0-A000B2E0FB65}" name="Código">
      <calculatedColumnFormula>"Factura N° "&amp;TEXT(G3,0)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5D0725-B72C-4520-A751-3A91B9D9BC90}" name="Facturadores" displayName="Facturadores" ref="J2:J3" insertRow="1" totalsRowShown="0" headerRowDxfId="4">
  <autoFilter ref="J2:J3" xr:uid="{16A60F1B-B360-433F-AC4A-1551CD862FB2}"/>
  <tableColumns count="1">
    <tableColumn id="1" xr3:uid="{88D16BBB-9783-4978-90A0-7FD8E0F03D88}" name="Nombre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A523C13-4AE9-40BB-846C-B9D6ED90F462}" name="Tabla_¿Cuánto_cuesta_el_dólar_banco_central_de_venezuela_ofical_en_Venezuela_hoy?__3" displayName="Tabla_¿Cuánto_cuesta_el_dólar_banco_central_de_venezuela_ofical_en_Venezuela_hoy?__3" ref="A1:B7" tableType="queryTable" totalsRowShown="0" headerRowDxfId="3" dataDxfId="2">
  <autoFilter ref="A1:B7" xr:uid="{6A523C13-4AE9-40BB-846C-B9D6ED90F462}"/>
  <tableColumns count="2">
    <tableColumn id="1" xr3:uid="{FA5DFA8B-39FD-4C9E-A431-1680FD1DB8BB}" uniqueName="1" name="Column1" queryTableFieldId="1" dataDxfId="1"/>
    <tableColumn id="2" xr3:uid="{8001EE33-E61F-46E8-9D8D-65D7D23273D8}" uniqueName="2" name="Column2" queryTableFieldId="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CD271-5640-4DF7-AFC8-6FDC4B4346EB}">
  <sheetPr codeName="Hoja2">
    <tabColor rgb="FFA7E8FF"/>
  </sheetPr>
  <dimension ref="D1:Z101"/>
  <sheetViews>
    <sheetView showGridLines="0" zoomScale="90" zoomScaleNormal="90" workbookViewId="0">
      <selection activeCell="G6" sqref="G6:H7"/>
    </sheetView>
  </sheetViews>
  <sheetFormatPr baseColWidth="10" defaultColWidth="11.42578125" defaultRowHeight="12.75" x14ac:dyDescent="0.2"/>
  <cols>
    <col min="1" max="5" width="5.7109375" style="4" customWidth="1"/>
    <col min="6" max="6" width="5.140625" style="4" customWidth="1"/>
    <col min="7" max="7" width="10.28515625" style="4" customWidth="1"/>
    <col min="8" max="8" width="6" style="4" customWidth="1"/>
    <col min="9" max="9" width="2.7109375" style="4" customWidth="1"/>
    <col min="10" max="16" width="5.7109375" style="4" customWidth="1"/>
    <col min="17" max="17" width="19" style="13" customWidth="1"/>
    <col min="18" max="18" width="3.7109375" style="13" customWidth="1"/>
    <col min="19" max="19" width="7.7109375" style="13" customWidth="1"/>
    <col min="20" max="20" width="8.7109375" style="13" customWidth="1"/>
    <col min="21" max="21" width="5.7109375" style="4" customWidth="1"/>
    <col min="22" max="22" width="11.7109375" style="31" customWidth="1"/>
    <col min="23" max="25" width="5.7109375" style="4" customWidth="1"/>
    <col min="26" max="26" width="13" style="4" customWidth="1"/>
    <col min="27" max="16384" width="11.42578125" style="4"/>
  </cols>
  <sheetData>
    <row r="1" spans="4:26" ht="12" customHeight="1" x14ac:dyDescent="0.2">
      <c r="D1" s="128" t="str">
        <f>API!G1</f>
        <v>v.0.1.1 (alfa)</v>
      </c>
      <c r="E1" s="128"/>
      <c r="F1" s="128"/>
      <c r="G1" s="128"/>
      <c r="H1" s="128"/>
      <c r="I1" s="128"/>
      <c r="J1" s="128"/>
      <c r="K1" s="128"/>
      <c r="L1" s="128"/>
      <c r="M1" s="128"/>
      <c r="Q1" s="4"/>
      <c r="R1" s="4"/>
      <c r="S1" s="4"/>
      <c r="T1" s="4"/>
    </row>
    <row r="2" spans="4:26" ht="12" customHeight="1" thickBot="1" x14ac:dyDescent="0.25">
      <c r="D2" s="128"/>
      <c r="E2" s="128"/>
      <c r="F2" s="128"/>
      <c r="G2" s="128"/>
      <c r="H2" s="128"/>
      <c r="I2" s="128"/>
      <c r="J2" s="128"/>
      <c r="K2" s="128"/>
      <c r="L2" s="128"/>
      <c r="M2" s="128"/>
      <c r="Q2" s="143">
        <f>API!G5</f>
        <v>0</v>
      </c>
      <c r="R2" s="143"/>
      <c r="S2" s="143"/>
      <c r="T2" s="143"/>
      <c r="V2" s="121" t="str">
        <f>IF(V9="FALSO","🔒","🔓")</f>
        <v>🔒</v>
      </c>
    </row>
    <row r="3" spans="4:26" ht="12" customHeight="1" x14ac:dyDescent="0.2">
      <c r="D3" s="128"/>
      <c r="E3" s="128"/>
      <c r="F3" s="128"/>
      <c r="G3" s="128"/>
      <c r="H3" s="128"/>
      <c r="I3" s="128"/>
      <c r="J3" s="128"/>
      <c r="K3" s="128"/>
      <c r="L3" s="128"/>
      <c r="M3" s="128"/>
      <c r="Q3" s="98" t="str">
        <f>"RIF: "&amp;API!G6</f>
        <v xml:space="preserve">RIF: </v>
      </c>
      <c r="R3" s="98"/>
      <c r="S3" s="98"/>
      <c r="T3" s="98"/>
      <c r="V3" s="121"/>
      <c r="W3" s="70" t="s">
        <v>39</v>
      </c>
      <c r="X3" s="71"/>
      <c r="Y3" s="71"/>
      <c r="Z3" s="72"/>
    </row>
    <row r="4" spans="4:26" ht="12" customHeight="1" x14ac:dyDescent="0.2">
      <c r="D4" s="144">
        <f>API!G5</f>
        <v>0</v>
      </c>
      <c r="E4" s="144"/>
      <c r="F4" s="144"/>
      <c r="G4" s="144"/>
      <c r="H4" s="144"/>
      <c r="I4" s="144"/>
      <c r="J4" s="144"/>
      <c r="K4" s="144"/>
      <c r="L4" s="144"/>
      <c r="M4" s="144"/>
      <c r="Q4" s="61">
        <f>API!G7</f>
        <v>0</v>
      </c>
      <c r="R4" s="61"/>
      <c r="S4" s="61"/>
      <c r="T4" s="61"/>
      <c r="V4" s="8" t="s">
        <v>33</v>
      </c>
      <c r="W4" s="73"/>
      <c r="X4" s="74"/>
      <c r="Y4" s="74"/>
      <c r="Z4" s="75"/>
    </row>
    <row r="5" spans="4:26" ht="12" customHeight="1" thickBot="1" x14ac:dyDescent="0.25">
      <c r="D5" s="7"/>
      <c r="E5" s="7"/>
      <c r="F5" s="7"/>
      <c r="G5" s="7"/>
      <c r="H5" s="7"/>
      <c r="I5" s="7"/>
      <c r="J5" s="7"/>
      <c r="K5" s="7"/>
      <c r="L5" s="7"/>
      <c r="M5" s="7"/>
      <c r="Q5" s="61"/>
      <c r="R5" s="61"/>
      <c r="S5" s="61"/>
      <c r="T5" s="61"/>
      <c r="W5" s="76" t="s">
        <v>38</v>
      </c>
      <c r="X5" s="77"/>
      <c r="Y5" s="66">
        <f>T13</f>
        <v>0</v>
      </c>
      <c r="Z5" s="67"/>
    </row>
    <row r="6" spans="4:26" ht="12" customHeight="1" x14ac:dyDescent="0.2">
      <c r="D6" s="129" t="s">
        <v>10</v>
      </c>
      <c r="E6" s="130"/>
      <c r="F6" s="130"/>
      <c r="G6" s="133"/>
      <c r="H6" s="134"/>
      <c r="I6" s="3"/>
      <c r="Q6" s="97">
        <f>API!G8</f>
        <v>0</v>
      </c>
      <c r="R6" s="97"/>
      <c r="S6" s="97"/>
      <c r="T6" s="97"/>
      <c r="U6" s="9"/>
      <c r="W6" s="76"/>
      <c r="X6" s="77"/>
      <c r="Y6" s="66"/>
      <c r="Z6" s="67"/>
    </row>
    <row r="7" spans="4:26" ht="12" customHeight="1" thickBot="1" x14ac:dyDescent="0.25">
      <c r="D7" s="131"/>
      <c r="E7" s="132"/>
      <c r="F7" s="132"/>
      <c r="G7" s="135"/>
      <c r="H7" s="136"/>
      <c r="I7" s="3"/>
      <c r="Q7" s="97">
        <f>API!G9</f>
        <v>0</v>
      </c>
      <c r="R7" s="97"/>
      <c r="S7" s="97"/>
      <c r="T7" s="97"/>
      <c r="U7" s="9"/>
      <c r="W7" s="62" t="s">
        <v>40</v>
      </c>
      <c r="X7" s="63"/>
      <c r="Y7" s="66">
        <f>T15</f>
        <v>0</v>
      </c>
      <c r="Z7" s="67"/>
    </row>
    <row r="8" spans="4:26" ht="12" customHeight="1" thickBot="1" x14ac:dyDescent="0.25">
      <c r="D8" s="3"/>
      <c r="E8" s="3"/>
      <c r="F8" s="3"/>
      <c r="G8" s="3"/>
      <c r="H8" s="3"/>
      <c r="I8" s="3"/>
      <c r="Q8" s="98" t="str">
        <f>"FACTURA: FAC-"&amp;TEXT($G$33,"0000")</f>
        <v>FACTURA: FAC-0001</v>
      </c>
      <c r="R8" s="98"/>
      <c r="S8" s="98" t="str">
        <f>"MÉTODO: "&amp;$D$25</f>
        <v>MÉTODO: Pago Móvil</v>
      </c>
      <c r="T8" s="98"/>
      <c r="W8" s="64"/>
      <c r="X8" s="65"/>
      <c r="Y8" s="68"/>
      <c r="Z8" s="69"/>
    </row>
    <row r="9" spans="4:26" ht="12" customHeight="1" x14ac:dyDescent="0.2">
      <c r="D9" s="91" t="s">
        <v>11</v>
      </c>
      <c r="E9" s="93"/>
      <c r="F9" s="3"/>
      <c r="G9" s="91" t="s">
        <v>12</v>
      </c>
      <c r="H9" s="93"/>
      <c r="I9" s="3"/>
      <c r="Q9" s="98" t="str">
        <f ca="1">"FECHA: "&amp;TEXT($G$34,"dd/mm/yy hh:mm")</f>
        <v>FECHA: 27/06/23 15:14</v>
      </c>
      <c r="R9" s="98"/>
      <c r="S9" s="98" t="str">
        <f>"Atendido por: "&amp;$L$33</f>
        <v xml:space="preserve">Atendido por: </v>
      </c>
      <c r="T9" s="98"/>
      <c r="V9" s="10" t="s">
        <v>67</v>
      </c>
      <c r="W9" s="78" t="s">
        <v>28</v>
      </c>
      <c r="X9" s="79"/>
      <c r="Y9" s="79"/>
      <c r="Z9" s="80"/>
    </row>
    <row r="10" spans="4:26" ht="12" customHeight="1" thickBot="1" x14ac:dyDescent="0.25">
      <c r="D10" s="137"/>
      <c r="E10" s="138"/>
      <c r="F10" s="3"/>
      <c r="G10" s="139">
        <f>G11*D21</f>
        <v>0</v>
      </c>
      <c r="H10" s="140"/>
      <c r="I10" s="3"/>
      <c r="N10" s="90"/>
      <c r="O10" s="90"/>
      <c r="P10" s="90"/>
      <c r="Q10" s="11" t="s">
        <v>1</v>
      </c>
      <c r="R10" s="11" t="s">
        <v>22</v>
      </c>
      <c r="S10" s="11" t="s">
        <v>25</v>
      </c>
      <c r="T10" s="11" t="s">
        <v>26</v>
      </c>
      <c r="V10" s="12" t="s">
        <v>32</v>
      </c>
      <c r="W10" s="81"/>
      <c r="X10" s="82"/>
      <c r="Y10" s="82"/>
      <c r="Z10" s="83"/>
    </row>
    <row r="11" spans="4:26" ht="12" customHeight="1" thickBot="1" x14ac:dyDescent="0.25">
      <c r="D11" s="3"/>
      <c r="E11" s="3"/>
      <c r="F11" s="3"/>
      <c r="G11" s="141"/>
      <c r="H11" s="142"/>
      <c r="I11" s="3"/>
      <c r="Q11" s="52"/>
      <c r="R11" s="53"/>
      <c r="S11" s="54"/>
      <c r="T11" s="54">
        <f>TablaFACT[[#This Row],[Precio(REF)]]*TablaFACT[[#This Row],[Cant]]</f>
        <v>0</v>
      </c>
      <c r="V11" s="33"/>
      <c r="W11" s="76" t="s">
        <v>38</v>
      </c>
      <c r="X11" s="77"/>
      <c r="Y11" s="66">
        <f>T16</f>
        <v>0</v>
      </c>
      <c r="Z11" s="67"/>
    </row>
    <row r="12" spans="4:26" ht="12" customHeight="1" thickBot="1" x14ac:dyDescent="0.25">
      <c r="D12" s="3"/>
      <c r="E12" s="3"/>
      <c r="F12" s="3"/>
      <c r="G12" s="3"/>
      <c r="H12" s="3"/>
      <c r="I12" s="3"/>
      <c r="V12" s="33"/>
      <c r="W12" s="76"/>
      <c r="X12" s="77"/>
      <c r="Y12" s="66"/>
      <c r="Z12" s="67"/>
    </row>
    <row r="13" spans="4:26" ht="12" customHeight="1" x14ac:dyDescent="0.2">
      <c r="D13" s="91" t="s">
        <v>13</v>
      </c>
      <c r="E13" s="92"/>
      <c r="F13" s="92"/>
      <c r="G13" s="92"/>
      <c r="H13" s="93"/>
      <c r="I13" s="3"/>
      <c r="R13" s="89" t="s">
        <v>24</v>
      </c>
      <c r="S13" s="89"/>
      <c r="T13" s="28">
        <f>SUM(TablaFACT[Total(REF)])</f>
        <v>0</v>
      </c>
      <c r="V13" s="33"/>
      <c r="W13" s="62" t="s">
        <v>40</v>
      </c>
      <c r="X13" s="63"/>
      <c r="Y13" s="66">
        <f>T17</f>
        <v>0</v>
      </c>
      <c r="Z13" s="67"/>
    </row>
    <row r="14" spans="4:26" ht="12" customHeight="1" thickBot="1" x14ac:dyDescent="0.25">
      <c r="D14" s="94" t="str">
        <f>IFERROR(VLOOKUP($G$6,Productos[],2,FALSE),"???")</f>
        <v>???</v>
      </c>
      <c r="E14" s="95"/>
      <c r="F14" s="95"/>
      <c r="G14" s="95"/>
      <c r="H14" s="96"/>
      <c r="I14" s="3"/>
      <c r="J14" s="26"/>
      <c r="K14" s="26"/>
      <c r="L14" s="26"/>
      <c r="M14" s="26"/>
      <c r="R14" s="85" t="s">
        <v>27</v>
      </c>
      <c r="S14" s="85"/>
      <c r="T14" s="29">
        <f>$D$21</f>
        <v>0</v>
      </c>
      <c r="V14" s="33"/>
      <c r="W14" s="64"/>
      <c r="X14" s="65"/>
      <c r="Y14" s="68"/>
      <c r="Z14" s="69"/>
    </row>
    <row r="15" spans="4:26" ht="12" customHeight="1" thickBot="1" x14ac:dyDescent="0.25">
      <c r="D15" s="3"/>
      <c r="E15" s="3"/>
      <c r="F15" s="3"/>
      <c r="G15" s="3"/>
      <c r="H15" s="3"/>
      <c r="I15" s="3"/>
      <c r="J15" s="3"/>
      <c r="K15" s="3"/>
      <c r="L15" s="3"/>
      <c r="M15" s="3"/>
      <c r="R15" s="86" t="s">
        <v>23</v>
      </c>
      <c r="S15" s="86"/>
      <c r="T15" s="30">
        <f>T14*T13</f>
        <v>0</v>
      </c>
      <c r="V15" s="33"/>
      <c r="W15" s="78" t="s">
        <v>29</v>
      </c>
      <c r="X15" s="79"/>
      <c r="Y15" s="79"/>
      <c r="Z15" s="80"/>
    </row>
    <row r="16" spans="4:26" ht="12" customHeight="1" thickBot="1" x14ac:dyDescent="0.25">
      <c r="D16" s="87" t="s">
        <v>2</v>
      </c>
      <c r="E16" s="88"/>
      <c r="F16" s="125" t="str">
        <f>IFERROR(VLOOKUP($G$6,Productos[],3,FALSE),"???")</f>
        <v>???</v>
      </c>
      <c r="G16" s="125"/>
      <c r="H16" s="125"/>
      <c r="I16" s="125"/>
      <c r="J16" s="125"/>
      <c r="K16" s="125"/>
      <c r="L16" s="125"/>
      <c r="M16" s="126"/>
      <c r="Q16" s="85" t="s">
        <v>30</v>
      </c>
      <c r="R16" s="85"/>
      <c r="S16" s="85"/>
      <c r="T16" s="29">
        <f>$H$25</f>
        <v>0</v>
      </c>
      <c r="V16" s="33"/>
      <c r="W16" s="81"/>
      <c r="X16" s="82"/>
      <c r="Y16" s="82"/>
      <c r="Z16" s="83"/>
    </row>
    <row r="17" spans="4:26" ht="12" customHeight="1" thickBot="1" x14ac:dyDescent="0.25">
      <c r="D17" s="5" t="str">
        <f>IFERROR(IF(ISBLANK(VLOOKUP($G$6,Productos[],5,FALSE)),"",VLOOKUP($G$6,Productos[],5,FALSE)),"")</f>
        <v/>
      </c>
      <c r="E17" s="6"/>
      <c r="F17" s="6"/>
      <c r="G17" s="6"/>
      <c r="H17" s="6"/>
      <c r="I17" s="6"/>
      <c r="J17" s="6"/>
      <c r="K17" s="6"/>
      <c r="L17" s="6"/>
      <c r="M17" s="6"/>
      <c r="Q17" s="85" t="s">
        <v>31</v>
      </c>
      <c r="R17" s="85"/>
      <c r="S17" s="85"/>
      <c r="T17" s="29">
        <f>$H$25*$D$21</f>
        <v>0</v>
      </c>
      <c r="V17" s="33"/>
      <c r="W17" s="76" t="s">
        <v>38</v>
      </c>
      <c r="X17" s="77"/>
      <c r="Y17" s="66">
        <f>ROUND(T16-T13,2)</f>
        <v>0</v>
      </c>
      <c r="Z17" s="67"/>
    </row>
    <row r="18" spans="4:26" ht="12" customHeight="1" thickBot="1" x14ac:dyDescent="0.25">
      <c r="D18" s="127" t="s">
        <v>14</v>
      </c>
      <c r="E18" s="127"/>
      <c r="F18" s="127"/>
      <c r="G18" s="127"/>
      <c r="H18" s="127"/>
      <c r="I18" s="127"/>
      <c r="J18" s="127"/>
      <c r="K18" s="127"/>
      <c r="L18" s="127"/>
      <c r="M18" s="127"/>
      <c r="Q18" s="85" t="str">
        <f>IF(Y17&gt;=0,"CAMBIO REF:","POR COBRAR REF:")</f>
        <v>CAMBIO REF:</v>
      </c>
      <c r="R18" s="85"/>
      <c r="S18" s="85"/>
      <c r="T18" s="29">
        <f>ABS(Y17)</f>
        <v>0</v>
      </c>
      <c r="V18" s="33"/>
      <c r="W18" s="76"/>
      <c r="X18" s="77"/>
      <c r="Y18" s="66"/>
      <c r="Z18" s="67"/>
    </row>
    <row r="19" spans="4:26" ht="12" customHeight="1" thickBot="1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Q19" s="85" t="str">
        <f>IF(Y19&gt;=0,"CAMBIO Bs. S:","POR COBRAR Bs. S:")</f>
        <v>CAMBIO Bs. S:</v>
      </c>
      <c r="R19" s="85"/>
      <c r="S19" s="85"/>
      <c r="T19" s="29">
        <f>ABS(Y19)</f>
        <v>0</v>
      </c>
      <c r="V19" s="33"/>
      <c r="W19" s="62" t="s">
        <v>40</v>
      </c>
      <c r="X19" s="63"/>
      <c r="Y19" s="66">
        <f>T17-T15</f>
        <v>0</v>
      </c>
      <c r="Z19" s="67"/>
    </row>
    <row r="20" spans="4:26" ht="12" customHeight="1" thickBot="1" x14ac:dyDescent="0.25">
      <c r="D20" s="91" t="s">
        <v>15</v>
      </c>
      <c r="E20" s="93"/>
      <c r="F20" s="3"/>
      <c r="G20" s="3"/>
      <c r="H20" s="3"/>
      <c r="I20" s="3"/>
      <c r="J20" s="3"/>
      <c r="K20" s="3"/>
      <c r="L20" s="3"/>
      <c r="M20" s="3"/>
      <c r="Q20" s="84" t="s">
        <v>35</v>
      </c>
      <c r="R20" s="84"/>
      <c r="S20" s="84"/>
      <c r="T20" s="84"/>
      <c r="V20" s="33"/>
      <c r="W20" s="64"/>
      <c r="X20" s="65"/>
      <c r="Y20" s="68"/>
      <c r="Z20" s="69"/>
    </row>
    <row r="21" spans="4:26" ht="12" customHeight="1" thickBot="1" x14ac:dyDescent="0.25">
      <c r="D21" s="110"/>
      <c r="E21" s="111"/>
      <c r="F21" s="3"/>
      <c r="G21" s="3"/>
      <c r="H21" s="3"/>
      <c r="I21" s="3"/>
      <c r="J21" s="3"/>
      <c r="K21" s="3"/>
      <c r="L21" s="3"/>
      <c r="M21" s="3"/>
      <c r="Q21" s="122" t="str">
        <f>"Nota:    "&amp;IF(ISBLANK(W23),"Sin observaciones",W23)&amp;CHAR(10)&amp;API!D9</f>
        <v xml:space="preserve">Nota:    Sin observaciones
</v>
      </c>
      <c r="R21" s="122"/>
      <c r="S21" s="122"/>
      <c r="T21" s="122"/>
      <c r="V21" s="33"/>
      <c r="W21" s="70" t="s">
        <v>41</v>
      </c>
      <c r="X21" s="71"/>
      <c r="Y21" s="71"/>
      <c r="Z21" s="72"/>
    </row>
    <row r="22" spans="4:26" ht="12" customHeight="1" x14ac:dyDescent="0.2">
      <c r="D22" s="3"/>
      <c r="E22" s="3"/>
      <c r="F22" s="3"/>
      <c r="G22" s="3"/>
      <c r="H22" s="3"/>
      <c r="I22" s="3"/>
      <c r="J22" s="3"/>
      <c r="K22" s="3"/>
      <c r="L22" s="3"/>
      <c r="M22" s="3"/>
      <c r="Q22" s="123"/>
      <c r="R22" s="123"/>
      <c r="S22" s="123"/>
      <c r="T22" s="123"/>
      <c r="V22" s="33"/>
      <c r="W22" s="73"/>
      <c r="X22" s="74"/>
      <c r="Y22" s="74"/>
      <c r="Z22" s="75"/>
    </row>
    <row r="23" spans="4:26" ht="12" customHeight="1" thickBot="1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Q23" s="124"/>
      <c r="R23" s="124"/>
      <c r="S23" s="124"/>
      <c r="T23" s="124"/>
      <c r="V23" s="33"/>
      <c r="W23" s="55"/>
      <c r="X23" s="56"/>
      <c r="Y23" s="56"/>
      <c r="Z23" s="57"/>
    </row>
    <row r="24" spans="4:26" ht="12" customHeight="1" x14ac:dyDescent="0.2">
      <c r="D24" s="91" t="s">
        <v>16</v>
      </c>
      <c r="E24" s="92"/>
      <c r="F24" s="93"/>
      <c r="G24" s="3"/>
      <c r="H24" s="91" t="s">
        <v>17</v>
      </c>
      <c r="I24" s="92"/>
      <c r="J24" s="92"/>
      <c r="K24" s="92"/>
      <c r="L24" s="92"/>
      <c r="M24" s="93"/>
      <c r="Q24" s="36" t="s">
        <v>70</v>
      </c>
      <c r="V24" s="33"/>
      <c r="W24" s="55"/>
      <c r="X24" s="56"/>
      <c r="Y24" s="56"/>
      <c r="Z24" s="57"/>
    </row>
    <row r="25" spans="4:26" ht="12" customHeight="1" thickBot="1" x14ac:dyDescent="0.25">
      <c r="D25" s="112" t="s">
        <v>86</v>
      </c>
      <c r="E25" s="113"/>
      <c r="F25" s="114"/>
      <c r="G25" s="3"/>
      <c r="H25" s="118"/>
      <c r="I25" s="119"/>
      <c r="J25" s="119"/>
      <c r="K25" s="119"/>
      <c r="L25" s="119"/>
      <c r="M25" s="120"/>
      <c r="V25" s="33"/>
      <c r="W25" s="55"/>
      <c r="X25" s="56"/>
      <c r="Y25" s="56"/>
      <c r="Z25" s="57"/>
    </row>
    <row r="26" spans="4:26" ht="12" customHeight="1" thickBot="1" x14ac:dyDescent="0.25">
      <c r="D26" s="3"/>
      <c r="E26" s="3"/>
      <c r="F26" s="3"/>
      <c r="G26" s="3"/>
      <c r="H26" s="115" t="s">
        <v>18</v>
      </c>
      <c r="I26" s="116"/>
      <c r="J26" s="116"/>
      <c r="K26" s="116"/>
      <c r="L26" s="116"/>
      <c r="M26" s="117"/>
      <c r="V26" s="33"/>
      <c r="W26" s="58"/>
      <c r="X26" s="59"/>
      <c r="Y26" s="59"/>
      <c r="Z26" s="60"/>
    </row>
    <row r="27" spans="4:26" ht="12" customHeight="1" thickBot="1" x14ac:dyDescent="0.25">
      <c r="D27" s="3"/>
      <c r="E27" s="3"/>
      <c r="F27" s="3"/>
      <c r="G27" s="3"/>
      <c r="H27" s="107"/>
      <c r="I27" s="108"/>
      <c r="J27" s="108"/>
      <c r="K27" s="108"/>
      <c r="L27" s="108"/>
      <c r="M27" s="109"/>
      <c r="V27" s="33"/>
    </row>
    <row r="28" spans="4:26" ht="12" customHeight="1" x14ac:dyDescent="0.2">
      <c r="D28" s="3"/>
      <c r="E28" s="3"/>
      <c r="F28" s="3"/>
      <c r="G28" s="3"/>
      <c r="H28" s="3"/>
      <c r="I28" s="3"/>
      <c r="J28" s="3"/>
      <c r="K28" s="3"/>
      <c r="L28" s="3"/>
      <c r="M28" s="3"/>
      <c r="V28" s="33"/>
    </row>
    <row r="29" spans="4:26" ht="12" customHeight="1" x14ac:dyDescent="0.2">
      <c r="D29" s="3"/>
      <c r="E29" s="3"/>
      <c r="F29" s="3"/>
      <c r="G29" s="3"/>
      <c r="H29" s="3"/>
      <c r="I29" s="3"/>
      <c r="J29" s="3"/>
      <c r="K29" s="3"/>
      <c r="L29" s="3"/>
      <c r="M29" s="3"/>
      <c r="V29" s="33"/>
    </row>
    <row r="30" spans="4:26" ht="12" customHeight="1" x14ac:dyDescent="0.2">
      <c r="D30" s="3"/>
      <c r="E30" s="3"/>
      <c r="F30" s="3"/>
      <c r="G30" s="3"/>
      <c r="H30" s="3"/>
      <c r="I30" s="3"/>
      <c r="J30" s="3"/>
      <c r="K30" s="3"/>
      <c r="L30" s="3"/>
      <c r="M30" s="3"/>
      <c r="V30" s="33"/>
    </row>
    <row r="31" spans="4:26" ht="12" customHeight="1" x14ac:dyDescent="0.2">
      <c r="D31" s="3"/>
      <c r="E31" s="3"/>
      <c r="F31" s="3"/>
      <c r="G31" s="3"/>
      <c r="H31" s="3"/>
      <c r="I31" s="3"/>
      <c r="J31" s="3"/>
      <c r="K31" s="3"/>
      <c r="L31" s="3"/>
      <c r="M31" s="3"/>
      <c r="V31" s="33"/>
    </row>
    <row r="32" spans="4:26" ht="12" customHeight="1" thickBot="1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V32" s="33"/>
    </row>
    <row r="33" spans="4:22" ht="12" customHeight="1" thickBot="1" x14ac:dyDescent="0.25">
      <c r="D33" s="99" t="s">
        <v>19</v>
      </c>
      <c r="E33" s="100"/>
      <c r="F33" s="100"/>
      <c r="G33" s="101">
        <f>MAX(Facturas[ID])+1</f>
        <v>1</v>
      </c>
      <c r="H33" s="102"/>
      <c r="I33" s="3"/>
      <c r="J33" s="87" t="s">
        <v>21</v>
      </c>
      <c r="K33" s="88"/>
      <c r="L33" s="105"/>
      <c r="M33" s="106"/>
      <c r="V33" s="33"/>
    </row>
    <row r="34" spans="4:22" ht="12" customHeight="1" thickBot="1" x14ac:dyDescent="0.25">
      <c r="D34" s="99" t="s">
        <v>20</v>
      </c>
      <c r="E34" s="100"/>
      <c r="F34" s="100"/>
      <c r="G34" s="103">
        <f ca="1">NOW()</f>
        <v>45104.635016782406</v>
      </c>
      <c r="H34" s="104"/>
      <c r="I34" s="3"/>
      <c r="J34" s="3"/>
      <c r="K34" s="3"/>
      <c r="L34" s="3"/>
      <c r="M34" s="3"/>
      <c r="V34" s="33"/>
    </row>
    <row r="35" spans="4:22" ht="12" customHeight="1" x14ac:dyDescent="0.2">
      <c r="V35" s="33"/>
    </row>
    <row r="36" spans="4:22" ht="12" customHeight="1" x14ac:dyDescent="0.2">
      <c r="V36" s="33"/>
    </row>
    <row r="37" spans="4:22" ht="12" customHeight="1" x14ac:dyDescent="0.2">
      <c r="V37" s="33"/>
    </row>
    <row r="38" spans="4:22" ht="12" customHeight="1" x14ac:dyDescent="0.2">
      <c r="V38" s="33"/>
    </row>
    <row r="39" spans="4:22" ht="12" customHeight="1" x14ac:dyDescent="0.2">
      <c r="V39" s="33"/>
    </row>
    <row r="40" spans="4:22" ht="12" customHeight="1" x14ac:dyDescent="0.2">
      <c r="V40" s="33"/>
    </row>
    <row r="41" spans="4:22" ht="12" customHeight="1" x14ac:dyDescent="0.2">
      <c r="V41" s="33"/>
    </row>
    <row r="42" spans="4:22" ht="12" customHeight="1" x14ac:dyDescent="0.2">
      <c r="V42" s="33"/>
    </row>
    <row r="43" spans="4:22" ht="12" customHeight="1" x14ac:dyDescent="0.2">
      <c r="V43" s="33"/>
    </row>
    <row r="44" spans="4:22" ht="12" customHeight="1" x14ac:dyDescent="0.2">
      <c r="V44" s="33"/>
    </row>
    <row r="45" spans="4:22" ht="12" customHeight="1" x14ac:dyDescent="0.2">
      <c r="V45" s="33"/>
    </row>
    <row r="46" spans="4:22" ht="12" customHeight="1" x14ac:dyDescent="0.2">
      <c r="V46" s="33"/>
    </row>
    <row r="47" spans="4:22" ht="12" customHeight="1" x14ac:dyDescent="0.2">
      <c r="V47" s="33"/>
    </row>
    <row r="48" spans="4:22" ht="12" customHeight="1" x14ac:dyDescent="0.2">
      <c r="V48" s="33"/>
    </row>
    <row r="49" spans="22:22" ht="12" customHeight="1" x14ac:dyDescent="0.2">
      <c r="V49" s="33"/>
    </row>
    <row r="50" spans="22:22" ht="12" customHeight="1" x14ac:dyDescent="0.2">
      <c r="V50" s="33"/>
    </row>
    <row r="51" spans="22:22" ht="12" customHeight="1" x14ac:dyDescent="0.2">
      <c r="V51" s="33"/>
    </row>
    <row r="52" spans="22:22" ht="12" customHeight="1" x14ac:dyDescent="0.2">
      <c r="V52" s="33"/>
    </row>
    <row r="53" spans="22:22" ht="12" customHeight="1" x14ac:dyDescent="0.2">
      <c r="V53" s="33"/>
    </row>
    <row r="54" spans="22:22" ht="12" customHeight="1" x14ac:dyDescent="0.2">
      <c r="V54" s="33"/>
    </row>
    <row r="55" spans="22:22" ht="12" customHeight="1" x14ac:dyDescent="0.2">
      <c r="V55" s="33"/>
    </row>
    <row r="56" spans="22:22" ht="12" customHeight="1" x14ac:dyDescent="0.2">
      <c r="V56" s="33"/>
    </row>
    <row r="57" spans="22:22" ht="12" customHeight="1" x14ac:dyDescent="0.2">
      <c r="V57" s="33"/>
    </row>
    <row r="58" spans="22:22" ht="12" customHeight="1" x14ac:dyDescent="0.2">
      <c r="V58" s="33"/>
    </row>
    <row r="59" spans="22:22" ht="12" customHeight="1" x14ac:dyDescent="0.2">
      <c r="V59" s="33"/>
    </row>
    <row r="60" spans="22:22" ht="12" customHeight="1" x14ac:dyDescent="0.2"/>
    <row r="61" spans="22:22" ht="12" customHeight="1" x14ac:dyDescent="0.2"/>
    <row r="62" spans="22:22" ht="12" customHeight="1" x14ac:dyDescent="0.2"/>
    <row r="63" spans="22:22" ht="12" customHeight="1" x14ac:dyDescent="0.2"/>
    <row r="64" spans="22:22" ht="12" customHeight="1" x14ac:dyDescent="0.2"/>
    <row r="65" ht="12" customHeight="1" x14ac:dyDescent="0.2"/>
    <row r="66" ht="12" customHeight="1" x14ac:dyDescent="0.2"/>
    <row r="67" ht="12" customHeight="1" x14ac:dyDescent="0.2"/>
    <row r="68" ht="12" customHeight="1" x14ac:dyDescent="0.2"/>
    <row r="69" ht="12" customHeight="1" x14ac:dyDescent="0.2"/>
    <row r="70" ht="12" customHeight="1" x14ac:dyDescent="0.2"/>
    <row r="71" ht="12" customHeight="1" x14ac:dyDescent="0.2"/>
    <row r="72" ht="12" customHeight="1" x14ac:dyDescent="0.2"/>
    <row r="73" ht="12" customHeight="1" x14ac:dyDescent="0.2"/>
    <row r="74" ht="12" customHeight="1" x14ac:dyDescent="0.2"/>
    <row r="75" ht="12" customHeight="1" x14ac:dyDescent="0.2"/>
    <row r="76" ht="12" customHeight="1" x14ac:dyDescent="0.2"/>
    <row r="77" ht="12" customHeight="1" x14ac:dyDescent="0.2"/>
    <row r="78" ht="12" customHeight="1" x14ac:dyDescent="0.2"/>
    <row r="79" ht="12" customHeight="1" x14ac:dyDescent="0.2"/>
    <row r="80" ht="12" customHeight="1" x14ac:dyDescent="0.2"/>
    <row r="81" ht="12" customHeight="1" x14ac:dyDescent="0.2"/>
    <row r="82" ht="12" customHeight="1" x14ac:dyDescent="0.2"/>
    <row r="83" ht="12" customHeight="1" x14ac:dyDescent="0.2"/>
    <row r="84" ht="12" customHeight="1" x14ac:dyDescent="0.2"/>
    <row r="85" ht="12" customHeight="1" x14ac:dyDescent="0.2"/>
    <row r="86" ht="12" customHeight="1" x14ac:dyDescent="0.2"/>
    <row r="87" ht="12" customHeight="1" x14ac:dyDescent="0.2"/>
    <row r="88" ht="12" customHeight="1" x14ac:dyDescent="0.2"/>
    <row r="89" ht="12" customHeight="1" x14ac:dyDescent="0.2"/>
    <row r="90" ht="12" customHeight="1" x14ac:dyDescent="0.2"/>
    <row r="91" ht="12" customHeight="1" x14ac:dyDescent="0.2"/>
    <row r="92" ht="12" customHeight="1" x14ac:dyDescent="0.2"/>
    <row r="93" ht="12" customHeight="1" x14ac:dyDescent="0.2"/>
    <row r="94" ht="12" customHeight="1" x14ac:dyDescent="0.2"/>
    <row r="95" ht="12" customHeight="1" x14ac:dyDescent="0.2"/>
    <row r="96" ht="12" customHeight="1" x14ac:dyDescent="0.2"/>
    <row r="97" ht="12" customHeight="1" x14ac:dyDescent="0.2"/>
    <row r="98" ht="12" customHeight="1" x14ac:dyDescent="0.2"/>
    <row r="99" ht="12" customHeight="1" x14ac:dyDescent="0.2"/>
    <row r="100" ht="12" customHeight="1" x14ac:dyDescent="0.2"/>
    <row r="101" ht="12" customHeight="1" x14ac:dyDescent="0.2"/>
  </sheetData>
  <mergeCells count="65">
    <mergeCell ref="V2:V3"/>
    <mergeCell ref="Q21:T23"/>
    <mergeCell ref="F16:M16"/>
    <mergeCell ref="D18:M18"/>
    <mergeCell ref="D1:M3"/>
    <mergeCell ref="D6:F7"/>
    <mergeCell ref="G6:H7"/>
    <mergeCell ref="D9:E9"/>
    <mergeCell ref="D10:E10"/>
    <mergeCell ref="G9:H9"/>
    <mergeCell ref="G10:H10"/>
    <mergeCell ref="G11:H11"/>
    <mergeCell ref="S9:T9"/>
    <mergeCell ref="Q2:T2"/>
    <mergeCell ref="Q3:T3"/>
    <mergeCell ref="D4:M4"/>
    <mergeCell ref="H27:M27"/>
    <mergeCell ref="D33:F33"/>
    <mergeCell ref="D21:E21"/>
    <mergeCell ref="D20:E20"/>
    <mergeCell ref="D24:F24"/>
    <mergeCell ref="D25:F25"/>
    <mergeCell ref="H24:M24"/>
    <mergeCell ref="H26:M26"/>
    <mergeCell ref="H25:M25"/>
    <mergeCell ref="D34:F34"/>
    <mergeCell ref="G33:H33"/>
    <mergeCell ref="G34:H34"/>
    <mergeCell ref="L33:M33"/>
    <mergeCell ref="J33:K33"/>
    <mergeCell ref="D16:E16"/>
    <mergeCell ref="W9:Z10"/>
    <mergeCell ref="Y5:Z6"/>
    <mergeCell ref="Y7:Z8"/>
    <mergeCell ref="R13:S13"/>
    <mergeCell ref="N10:P10"/>
    <mergeCell ref="D13:H13"/>
    <mergeCell ref="D14:H14"/>
    <mergeCell ref="R14:S14"/>
    <mergeCell ref="Q6:T6"/>
    <mergeCell ref="Q7:T7"/>
    <mergeCell ref="Q8:R8"/>
    <mergeCell ref="S8:T8"/>
    <mergeCell ref="Q9:R9"/>
    <mergeCell ref="Q17:S17"/>
    <mergeCell ref="Q18:S18"/>
    <mergeCell ref="Q19:S19"/>
    <mergeCell ref="R15:S15"/>
    <mergeCell ref="Q16:S16"/>
    <mergeCell ref="W23:Z26"/>
    <mergeCell ref="Q4:T5"/>
    <mergeCell ref="W19:X20"/>
    <mergeCell ref="Y19:Z20"/>
    <mergeCell ref="W21:Z22"/>
    <mergeCell ref="W11:X12"/>
    <mergeCell ref="Y11:Z12"/>
    <mergeCell ref="W13:X14"/>
    <mergeCell ref="Y13:Z14"/>
    <mergeCell ref="W15:Z16"/>
    <mergeCell ref="W17:X18"/>
    <mergeCell ref="Y17:Z18"/>
    <mergeCell ref="W5:X6"/>
    <mergeCell ref="W3:Z4"/>
    <mergeCell ref="W7:X8"/>
    <mergeCell ref="Q20:T20"/>
  </mergeCells>
  <dataValidations count="2">
    <dataValidation type="list" allowBlank="1" showInputMessage="1" showErrorMessage="1" sqref="L33:M33" xr:uid="{391B0D7F-C9D2-4727-BC2F-022FC2B1A802}">
      <formula1>NombreFacturador</formula1>
    </dataValidation>
    <dataValidation type="decimal" errorStyle="warning" allowBlank="1" showErrorMessage="1" errorTitle="COMPRUEBE EL VALOR" error="El valor introducido no es un número. " promptTitle="a" prompt="a" sqref="D21:E21" xr:uid="{4260263E-DAC5-4CCD-BD3E-C77574F56BBF}">
      <formula1>0.01</formula1>
      <formula2>9.99999999999999E+32</formula2>
    </dataValidation>
  </dataValidations>
  <pageMargins left="1.2" right="1" top="0.25" bottom="1" header="0.1" footer="0.1"/>
  <pageSetup scale="200" fitToWidth="3" fitToHeight="0" orientation="portrait" r:id="rId1"/>
  <ignoredErrors>
    <ignoredError sqref="G33:G34 F16" unlocked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AC2C9-F4FD-4658-B7BF-6CAB40B56A4A}">
  <sheetPr codeName="Hoja1">
    <tabColor theme="9" tint="0.39997558519241921"/>
  </sheetPr>
  <dimension ref="A1:L21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3.42578125" customWidth="1"/>
    <col min="6" max="6" width="5.7109375" customWidth="1"/>
    <col min="9" max="9" width="5.7109375" customWidth="1"/>
    <col min="10" max="10" width="16.5703125" customWidth="1"/>
  </cols>
  <sheetData>
    <row r="1" spans="1:12" x14ac:dyDescent="0.25">
      <c r="A1" s="145" t="s">
        <v>5</v>
      </c>
      <c r="B1" s="145"/>
      <c r="C1" s="145"/>
      <c r="D1" s="145"/>
      <c r="E1" s="145"/>
      <c r="F1" s="2"/>
      <c r="G1" s="145" t="s">
        <v>6</v>
      </c>
      <c r="H1" s="145"/>
      <c r="J1" s="24" t="s">
        <v>8</v>
      </c>
      <c r="L1" s="35"/>
    </row>
    <row r="2" spans="1:12" x14ac:dyDescent="0.25">
      <c r="A2" s="25" t="s">
        <v>0</v>
      </c>
      <c r="B2" s="25" t="s">
        <v>1</v>
      </c>
      <c r="C2" s="25" t="s">
        <v>2</v>
      </c>
      <c r="D2" s="25" t="s">
        <v>3</v>
      </c>
      <c r="E2" s="25" t="s">
        <v>4</v>
      </c>
      <c r="F2" s="47"/>
      <c r="G2" s="25" t="s">
        <v>0</v>
      </c>
      <c r="H2" s="25" t="s">
        <v>7</v>
      </c>
      <c r="I2" s="32"/>
      <c r="J2" s="25" t="s">
        <v>9</v>
      </c>
    </row>
    <row r="3" spans="1:12" x14ac:dyDescent="0.25">
      <c r="A3" s="32"/>
      <c r="D3" s="1"/>
      <c r="G3">
        <v>0</v>
      </c>
      <c r="H3" t="str">
        <f>"Factura N° "&amp;TEXT(G3,0)</f>
        <v>Factura N° 0</v>
      </c>
    </row>
    <row r="4" spans="1:12" x14ac:dyDescent="0.25">
      <c r="A4" s="32"/>
      <c r="D4" s="1"/>
    </row>
    <row r="5" spans="1:12" x14ac:dyDescent="0.25">
      <c r="A5" s="32"/>
      <c r="D5" s="1"/>
    </row>
    <row r="6" spans="1:12" x14ac:dyDescent="0.25">
      <c r="A6" s="32"/>
      <c r="D6" s="1"/>
    </row>
    <row r="7" spans="1:12" x14ac:dyDescent="0.25">
      <c r="A7" s="32"/>
      <c r="D7" s="1"/>
    </row>
    <row r="8" spans="1:12" x14ac:dyDescent="0.25">
      <c r="A8" s="32"/>
      <c r="D8" s="1"/>
    </row>
    <row r="9" spans="1:12" x14ac:dyDescent="0.25">
      <c r="A9" s="32"/>
      <c r="D9" s="1"/>
    </row>
    <row r="10" spans="1:12" x14ac:dyDescent="0.25">
      <c r="A10" s="32"/>
      <c r="D10" s="1"/>
    </row>
    <row r="11" spans="1:12" x14ac:dyDescent="0.25">
      <c r="A11" s="32"/>
      <c r="D11" s="1"/>
    </row>
    <row r="12" spans="1:12" x14ac:dyDescent="0.25">
      <c r="A12" s="32"/>
      <c r="D12" s="1"/>
    </row>
    <row r="13" spans="1:12" x14ac:dyDescent="0.25">
      <c r="A13" s="32"/>
      <c r="D13" s="37"/>
    </row>
    <row r="14" spans="1:12" x14ac:dyDescent="0.25">
      <c r="A14" s="32"/>
      <c r="D14" s="37"/>
    </row>
    <row r="15" spans="1:12" x14ac:dyDescent="0.25">
      <c r="A15" s="32"/>
      <c r="D15" s="37"/>
    </row>
    <row r="16" spans="1:12" x14ac:dyDescent="0.25">
      <c r="A16" s="32"/>
      <c r="D16" s="37"/>
    </row>
    <row r="17" spans="1:4" x14ac:dyDescent="0.25">
      <c r="A17" s="32"/>
      <c r="D17" s="37"/>
    </row>
    <row r="18" spans="1:4" x14ac:dyDescent="0.25">
      <c r="A18" s="32"/>
      <c r="D18" s="37"/>
    </row>
    <row r="19" spans="1:4" x14ac:dyDescent="0.25">
      <c r="A19" s="32"/>
      <c r="D19" s="37"/>
    </row>
    <row r="20" spans="1:4" x14ac:dyDescent="0.25">
      <c r="A20" s="32"/>
      <c r="D20" s="37"/>
    </row>
    <row r="21" spans="1:4" x14ac:dyDescent="0.25">
      <c r="A21" s="32"/>
      <c r="D21" s="37"/>
    </row>
  </sheetData>
  <mergeCells count="2">
    <mergeCell ref="A1:E1"/>
    <mergeCell ref="G1:H1"/>
  </mergeCells>
  <phoneticPr fontId="3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45355-F8C8-4E98-8788-ECDF31422C99}">
  <sheetPr codeName="Hoja4">
    <tabColor theme="5" tint="0.59999389629810485"/>
  </sheetPr>
  <dimension ref="A1:L7"/>
  <sheetViews>
    <sheetView workbookViewId="0">
      <selection activeCell="A2" sqref="A2"/>
    </sheetView>
  </sheetViews>
  <sheetFormatPr baseColWidth="10" defaultColWidth="11.42578125" defaultRowHeight="15" x14ac:dyDescent="0.25"/>
  <cols>
    <col min="5" max="5" width="17.7109375" customWidth="1"/>
    <col min="6" max="6" width="24.7109375" customWidth="1"/>
  </cols>
  <sheetData>
    <row r="1" spans="1:12" x14ac:dyDescent="0.25">
      <c r="A1" s="24" t="s">
        <v>0</v>
      </c>
      <c r="B1" s="24" t="s">
        <v>1</v>
      </c>
      <c r="C1" s="24" t="s">
        <v>71</v>
      </c>
      <c r="D1" s="24" t="s">
        <v>74</v>
      </c>
      <c r="E1" s="24" t="s">
        <v>16</v>
      </c>
      <c r="F1" s="24" t="s">
        <v>68</v>
      </c>
      <c r="G1" s="24" t="s">
        <v>21</v>
      </c>
      <c r="H1" s="24" t="s">
        <v>75</v>
      </c>
      <c r="I1" s="24" t="s">
        <v>69</v>
      </c>
      <c r="J1" s="24" t="s">
        <v>76</v>
      </c>
      <c r="K1" s="24" t="s">
        <v>72</v>
      </c>
      <c r="L1" s="24" t="s">
        <v>73</v>
      </c>
    </row>
    <row r="2" spans="1:12" x14ac:dyDescent="0.25">
      <c r="F2" s="34"/>
    </row>
    <row r="3" spans="1:12" x14ac:dyDescent="0.25">
      <c r="F3" s="34"/>
    </row>
    <row r="4" spans="1:12" x14ac:dyDescent="0.25">
      <c r="F4" s="34"/>
    </row>
    <row r="5" spans="1:12" x14ac:dyDescent="0.25">
      <c r="F5" s="34"/>
    </row>
    <row r="6" spans="1:12" x14ac:dyDescent="0.25">
      <c r="F6" s="34"/>
    </row>
    <row r="7" spans="1:12" x14ac:dyDescent="0.25">
      <c r="F7" s="3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6F69D-8FCD-499D-87F9-EBD9595120CD}">
  <sheetPr codeName="Hoja3">
    <tabColor theme="7" tint="0.79998168889431442"/>
  </sheetPr>
  <dimension ref="A1:AH26"/>
  <sheetViews>
    <sheetView showGridLines="0" tabSelected="1" workbookViewId="0">
      <selection activeCell="E1" sqref="E1"/>
    </sheetView>
  </sheetViews>
  <sheetFormatPr baseColWidth="10" defaultColWidth="11.42578125" defaultRowHeight="15" x14ac:dyDescent="0.25"/>
  <cols>
    <col min="1" max="2" width="11.28515625" style="15" bestFit="1" customWidth="1"/>
    <col min="3" max="4" width="1.7109375" style="15" customWidth="1"/>
    <col min="5" max="5" width="11.85546875" style="15" customWidth="1"/>
    <col min="6" max="6" width="14.140625" style="15" customWidth="1"/>
    <col min="7" max="7" width="24.7109375" style="15" customWidth="1"/>
    <col min="8" max="8" width="20.5703125" style="15" customWidth="1"/>
    <col min="9" max="9" width="25.7109375" style="15" bestFit="1" customWidth="1"/>
    <col min="10" max="10" width="11.42578125" style="15"/>
    <col min="11" max="12" width="11.28515625" style="15" bestFit="1" customWidth="1"/>
    <col min="13" max="13" width="84.28515625" style="15" customWidth="1"/>
    <col min="14" max="16384" width="11.42578125" style="15"/>
  </cols>
  <sheetData>
    <row r="1" spans="1:34" x14ac:dyDescent="0.25">
      <c r="A1" s="19" t="s">
        <v>77</v>
      </c>
      <c r="B1" s="19" t="s">
        <v>78</v>
      </c>
      <c r="C1" s="19" t="s">
        <v>34</v>
      </c>
      <c r="D1" s="20"/>
      <c r="E1" s="49" t="e">
        <f>POS!$H$27/POS!$D$21</f>
        <v>#DIV/0!</v>
      </c>
      <c r="F1" s="38" t="s">
        <v>48</v>
      </c>
      <c r="G1" s="43" t="s">
        <v>85</v>
      </c>
      <c r="H1" s="41"/>
      <c r="I1" s="41"/>
      <c r="J1" s="39" t="s">
        <v>61</v>
      </c>
      <c r="K1" s="146" t="s">
        <v>66</v>
      </c>
      <c r="L1" s="146"/>
      <c r="M1" s="146"/>
      <c r="N1" s="146"/>
      <c r="O1" s="146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</row>
    <row r="2" spans="1:34" x14ac:dyDescent="0.25">
      <c r="A2" s="19" t="s">
        <v>79</v>
      </c>
      <c r="B2" s="48">
        <v>27.62</v>
      </c>
      <c r="C2" s="19" t="s">
        <v>36</v>
      </c>
      <c r="D2" s="21"/>
      <c r="E2" s="50">
        <f>POS!T13</f>
        <v>0</v>
      </c>
      <c r="F2" s="38" t="s">
        <v>49</v>
      </c>
      <c r="G2" s="43" t="s">
        <v>50</v>
      </c>
      <c r="H2" s="41"/>
      <c r="I2" s="41"/>
      <c r="J2" s="39" t="s">
        <v>62</v>
      </c>
      <c r="K2" s="146" t="s">
        <v>64</v>
      </c>
      <c r="L2" s="146"/>
      <c r="M2" s="146"/>
      <c r="N2" s="146"/>
      <c r="O2" s="146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</row>
    <row r="3" spans="1:34" x14ac:dyDescent="0.25">
      <c r="A3" s="19" t="s">
        <v>80</v>
      </c>
      <c r="B3" s="48">
        <v>138.08000000000001</v>
      </c>
      <c r="C3" s="19" t="s">
        <v>37</v>
      </c>
      <c r="D3" s="19"/>
      <c r="E3" s="51">
        <f>POS!T15</f>
        <v>0</v>
      </c>
      <c r="F3" s="38" t="s">
        <v>51</v>
      </c>
      <c r="G3" s="43">
        <v>2023</v>
      </c>
      <c r="H3" s="41"/>
      <c r="I3" s="41"/>
      <c r="J3" s="39" t="s">
        <v>63</v>
      </c>
      <c r="K3" s="146" t="s">
        <v>65</v>
      </c>
      <c r="L3" s="146"/>
      <c r="M3" s="146"/>
      <c r="N3" s="146"/>
      <c r="O3" s="146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</row>
    <row r="4" spans="1:34" x14ac:dyDescent="0.25">
      <c r="A4" s="19" t="s">
        <v>81</v>
      </c>
      <c r="B4" s="48">
        <v>276.17</v>
      </c>
      <c r="C4" s="19" t="s">
        <v>42</v>
      </c>
      <c r="D4" s="19"/>
      <c r="E4" s="14"/>
      <c r="F4" s="39" t="s">
        <v>52</v>
      </c>
      <c r="G4" s="44">
        <v>45077</v>
      </c>
      <c r="H4" s="41"/>
      <c r="I4" s="41"/>
      <c r="J4" s="41"/>
      <c r="K4" s="41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</row>
    <row r="5" spans="1:34" x14ac:dyDescent="0.25">
      <c r="A5" s="19" t="s">
        <v>82</v>
      </c>
      <c r="B5" s="48">
        <v>552.34</v>
      </c>
      <c r="C5" s="19" t="s">
        <v>43</v>
      </c>
      <c r="D5" s="42"/>
      <c r="E5" s="45"/>
      <c r="F5" s="22" t="s">
        <v>53</v>
      </c>
      <c r="G5" s="40"/>
      <c r="H5" s="41"/>
      <c r="I5" s="41"/>
      <c r="J5" s="41"/>
      <c r="K5" s="41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</row>
    <row r="6" spans="1:34" x14ac:dyDescent="0.25">
      <c r="A6" s="19" t="s">
        <v>83</v>
      </c>
      <c r="B6" s="48">
        <v>1380.85</v>
      </c>
      <c r="C6" s="19" t="s">
        <v>45</v>
      </c>
      <c r="D6" s="46"/>
      <c r="E6" s="45"/>
      <c r="F6" s="22" t="s">
        <v>54</v>
      </c>
      <c r="G6" s="23"/>
      <c r="H6" s="14"/>
      <c r="I6" s="14"/>
      <c r="J6" s="17"/>
      <c r="K6" s="14"/>
    </row>
    <row r="7" spans="1:34" x14ac:dyDescent="0.25">
      <c r="A7" s="19" t="s">
        <v>84</v>
      </c>
      <c r="B7" s="48">
        <v>2761.69</v>
      </c>
      <c r="C7" s="19" t="s">
        <v>44</v>
      </c>
      <c r="D7" s="46"/>
      <c r="E7" s="45"/>
      <c r="F7" s="22" t="s">
        <v>55</v>
      </c>
      <c r="G7" s="23"/>
      <c r="H7" s="14"/>
      <c r="I7" s="14"/>
      <c r="J7" s="17"/>
      <c r="K7" s="14"/>
    </row>
    <row r="8" spans="1:34" x14ac:dyDescent="0.25">
      <c r="C8" s="19" t="s">
        <v>46</v>
      </c>
      <c r="D8" s="42"/>
      <c r="E8" s="45"/>
      <c r="F8" s="22" t="s">
        <v>56</v>
      </c>
      <c r="G8" s="23"/>
      <c r="H8" s="14"/>
      <c r="I8" s="14"/>
      <c r="J8" s="17"/>
      <c r="K8" s="14"/>
    </row>
    <row r="9" spans="1:34" x14ac:dyDescent="0.25">
      <c r="C9" s="41" t="s">
        <v>47</v>
      </c>
      <c r="D9" s="27" t="str">
        <f>IF(AND(ISNUMBER(E5)+ISNUMBER(E6)+ISNUMBER(E7)+ISNUMBER(E8)&gt;0, OR(E5&lt;&gt;0, E6&lt;&gt;0, E7&lt;&gt;0, E8&lt;&gt;0)), CONCATENATE("Detalles P. Combinado: ", IF(E5&lt;&gt;"", IF(E5=0,"","Tarjeta: Bs. S "&amp;E5&amp;"     "), ""), IF(E6&lt;&gt;"", IF(E6=0,"","PM: Bs. S "&amp;E6&amp;"     "), ""), IF(E7&lt;&gt;"", IF(E7=0,"","Efectivo: Bs. S "&amp;E7&amp;"     "), ""), IF(E8&lt;&gt;"", IF(E8=0,"","Dólar: REF "&amp;E8&amp;"     "), ""), ""), "")</f>
        <v/>
      </c>
      <c r="E9" s="14"/>
      <c r="F9" s="22" t="s">
        <v>57</v>
      </c>
      <c r="G9" s="23"/>
      <c r="H9" s="14"/>
      <c r="I9" s="14"/>
      <c r="J9" s="18"/>
      <c r="K9" s="14"/>
    </row>
    <row r="10" spans="1:34" x14ac:dyDescent="0.25">
      <c r="C10" s="19" t="s">
        <v>59</v>
      </c>
      <c r="D10" s="21">
        <f>POS!Y5-POS!Y17</f>
        <v>0</v>
      </c>
      <c r="E10" s="14"/>
      <c r="F10" s="38" t="s">
        <v>58</v>
      </c>
      <c r="G10" s="14"/>
      <c r="H10" s="14"/>
      <c r="I10" s="14"/>
      <c r="J10" s="18"/>
      <c r="K10" s="14"/>
    </row>
    <row r="11" spans="1:34" x14ac:dyDescent="0.25">
      <c r="C11" s="19" t="s">
        <v>60</v>
      </c>
      <c r="D11" s="19"/>
      <c r="E11" s="14"/>
      <c r="F11" s="14"/>
      <c r="G11" s="14"/>
      <c r="H11" s="14"/>
      <c r="I11" s="14"/>
      <c r="K11" s="14"/>
    </row>
    <row r="12" spans="1:34" x14ac:dyDescent="0.25">
      <c r="E12" s="14"/>
      <c r="F12" s="14"/>
      <c r="G12" s="14"/>
      <c r="H12" s="14"/>
      <c r="I12" s="14"/>
      <c r="J12" s="14"/>
      <c r="K12" s="14"/>
    </row>
    <row r="13" spans="1:34" x14ac:dyDescent="0.25">
      <c r="E13" s="14"/>
      <c r="F13" s="14"/>
      <c r="G13" s="14"/>
      <c r="H13" s="14"/>
      <c r="I13" s="14"/>
      <c r="J13" s="14"/>
      <c r="K13" s="14"/>
    </row>
    <row r="14" spans="1:34" x14ac:dyDescent="0.25">
      <c r="E14" s="14"/>
      <c r="F14" s="14"/>
      <c r="G14" s="14"/>
      <c r="H14" s="14"/>
      <c r="I14" s="14"/>
      <c r="J14" s="14"/>
      <c r="K14" s="14"/>
    </row>
    <row r="15" spans="1:34" x14ac:dyDescent="0.25">
      <c r="G15" s="14"/>
      <c r="H15" s="14"/>
      <c r="I15" s="14"/>
      <c r="J15" s="14"/>
      <c r="K15" s="14"/>
      <c r="L15" s="14"/>
      <c r="M15" s="14"/>
    </row>
    <row r="16" spans="1:34" x14ac:dyDescent="0.25">
      <c r="D16" s="16"/>
      <c r="G16" s="14"/>
      <c r="H16" s="14"/>
      <c r="I16" s="14"/>
      <c r="J16" s="14"/>
      <c r="K16" s="14"/>
      <c r="L16" s="14"/>
      <c r="M16" s="14"/>
    </row>
    <row r="17" spans="7:13" x14ac:dyDescent="0.25">
      <c r="G17" s="14"/>
      <c r="H17" s="14"/>
      <c r="I17" s="14"/>
      <c r="J17" s="14"/>
      <c r="K17" s="14"/>
      <c r="L17" s="14"/>
      <c r="M17" s="14"/>
    </row>
    <row r="18" spans="7:13" x14ac:dyDescent="0.25">
      <c r="G18" s="14"/>
      <c r="H18" s="14"/>
      <c r="I18" s="14"/>
      <c r="J18" s="14"/>
      <c r="K18" s="14"/>
    </row>
    <row r="19" spans="7:13" x14ac:dyDescent="0.25">
      <c r="G19" s="14"/>
      <c r="H19" s="14"/>
      <c r="I19" s="14"/>
      <c r="J19" s="14"/>
      <c r="K19" s="14"/>
    </row>
    <row r="20" spans="7:13" x14ac:dyDescent="0.25">
      <c r="G20" s="14"/>
      <c r="H20" s="14"/>
      <c r="I20" s="14"/>
      <c r="J20" s="14"/>
      <c r="K20" s="14"/>
    </row>
    <row r="21" spans="7:13" x14ac:dyDescent="0.25">
      <c r="G21" s="14"/>
      <c r="H21" s="14"/>
      <c r="I21" s="14"/>
      <c r="J21" s="14"/>
      <c r="K21" s="14"/>
    </row>
    <row r="22" spans="7:13" x14ac:dyDescent="0.25">
      <c r="G22" s="14"/>
      <c r="H22" s="14"/>
      <c r="I22" s="14"/>
      <c r="J22" s="14"/>
      <c r="K22" s="14"/>
    </row>
    <row r="23" spans="7:13" x14ac:dyDescent="0.25">
      <c r="G23" s="14"/>
      <c r="H23" s="14"/>
      <c r="I23" s="14"/>
      <c r="J23" s="14"/>
      <c r="K23" s="14"/>
    </row>
    <row r="24" spans="7:13" x14ac:dyDescent="0.25">
      <c r="G24" s="14"/>
      <c r="H24" s="14"/>
      <c r="I24" s="14"/>
      <c r="J24" s="14"/>
      <c r="K24" s="14"/>
    </row>
    <row r="25" spans="7:13" x14ac:dyDescent="0.25">
      <c r="G25" s="14"/>
      <c r="H25" s="14"/>
      <c r="I25" s="14"/>
      <c r="J25" s="14"/>
      <c r="K25" s="14"/>
      <c r="L25" s="14"/>
      <c r="M25" s="14"/>
    </row>
    <row r="26" spans="7:13" x14ac:dyDescent="0.25">
      <c r="G26" s="14"/>
      <c r="H26" s="14"/>
      <c r="I26" s="14"/>
      <c r="J26" s="14"/>
      <c r="K26" s="14"/>
      <c r="L26" s="14"/>
      <c r="M26" s="14"/>
    </row>
  </sheetData>
  <mergeCells count="3">
    <mergeCell ref="K1:O1"/>
    <mergeCell ref="K2:O2"/>
    <mergeCell ref="K3:O3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4F060-E612-499B-9B45-A9FBDB4FDA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POS</vt:lpstr>
      <vt:lpstr>Control</vt:lpstr>
      <vt:lpstr>Registros</vt:lpstr>
      <vt:lpstr>API</vt:lpstr>
      <vt:lpstr>POS!Área_de_impresión</vt:lpstr>
      <vt:lpstr>NombreFacturador</vt:lpstr>
      <vt:lpstr>POS!Títulos_a_imprimir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prinz</cp:lastModifiedBy>
  <cp:lastPrinted>2023-06-27T18:45:10Z</cp:lastPrinted>
  <dcterms:created xsi:type="dcterms:W3CDTF">2023-05-03T02:53:00Z</dcterms:created>
  <dcterms:modified xsi:type="dcterms:W3CDTF">2023-06-27T19:14:39Z</dcterms:modified>
</cp:coreProperties>
</file>